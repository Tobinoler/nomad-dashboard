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o" sheetId="1" r:id="rId5"/>
    <sheet state="visible" name="Motor Preferences" sheetId="2" r:id="rId6"/>
    <sheet state="visible" name="Power Testing" sheetId="3" r:id="rId7"/>
    <sheet state="visible" name="Pitching" sheetId="4" r:id="rId8"/>
    <sheet state="visible" name="Arm Care" sheetId="5" r:id="rId9"/>
    <sheet state="visible" name="Context" sheetId="6" r:id="rId10"/>
    <sheet state="visible" name="Injuries" sheetId="7" r:id="rId11"/>
    <sheet state="visible" name="MSSPosture" sheetId="8" r:id="rId12"/>
    <sheet state="visible" name="Athlete Plan" sheetId="9" r:id="rId13"/>
    <sheet state="visible" name="Coaches Notes" sheetId="10" r:id="rId14"/>
  </sheets>
  <definedNames/>
  <calcPr/>
</workbook>
</file>

<file path=xl/sharedStrings.xml><?xml version="1.0" encoding="utf-8"?>
<sst xmlns="http://schemas.openxmlformats.org/spreadsheetml/2006/main" count="1201" uniqueCount="519">
  <si>
    <t>Player Name</t>
  </si>
  <si>
    <t>Graduating Class</t>
  </si>
  <si>
    <t>High School / College</t>
  </si>
  <si>
    <t>Select Team</t>
  </si>
  <si>
    <t xml:space="preserve">Position 1 </t>
  </si>
  <si>
    <t>Position 2</t>
  </si>
  <si>
    <t>Height</t>
  </si>
  <si>
    <t>Weight</t>
  </si>
  <si>
    <t>Video Behind</t>
  </si>
  <si>
    <t>Video Side</t>
  </si>
  <si>
    <t>Video Other</t>
  </si>
  <si>
    <t>Matthew Heredia</t>
  </si>
  <si>
    <t>Southlake Carroll</t>
  </si>
  <si>
    <t>N/A</t>
  </si>
  <si>
    <t>SS</t>
  </si>
  <si>
    <t>RHP</t>
  </si>
  <si>
    <t>5'9"</t>
  </si>
  <si>
    <t>https://drive.google.com/file/d/1EypgKD4iai_2bxYZ02LxfcuJRP61xiFY/view?usp=drive_link</t>
  </si>
  <si>
    <t>https://drive.google.com/file/d/1rMvDDg_jf1oDnBp3o8vLDcIiK32KosU3/view?usp=drive_link</t>
  </si>
  <si>
    <t>https://drive.google.com/file/d/1AmWmBwh-BB7tu9PmDYvfTvHWgRDw7GCh/view?usp=drive_link</t>
  </si>
  <si>
    <t>Jason Drew</t>
  </si>
  <si>
    <t>Flower Mound</t>
  </si>
  <si>
    <t>North Texas 9</t>
  </si>
  <si>
    <t>INF</t>
  </si>
  <si>
    <t>https://drive.google.com/file/d/1OEeTgB46qLePMLwnXfQTn2qnCTWbZz_8/view?usp=drive_link</t>
  </si>
  <si>
    <t>https://drive.google.com/file/d/1OnsKMTO_bF0IO8f7TXoWdrTvZYKVbIQW/view?usp=drive_link</t>
  </si>
  <si>
    <t>https://drive.google.com/file/d/1ZfVs9YsxBWEdwQOJu5PCMF4sCznsjl3-/view?usp=drive_link</t>
  </si>
  <si>
    <t>Josh Jacob</t>
  </si>
  <si>
    <t>Garland Christian</t>
  </si>
  <si>
    <t>Arlington A's</t>
  </si>
  <si>
    <t>MIF</t>
  </si>
  <si>
    <t>5'8</t>
  </si>
  <si>
    <t>https://drive.google.com/file/d/1mTDIkMk3n5Sq3LdJmFjJAzLsW5D_mwWf/view?usp=drive_link</t>
  </si>
  <si>
    <t>https://drive.google.com/file/d/1DDJaZRD7nyoN-F-rZullSVNzExsSPCj_/view?usp=drive_link</t>
  </si>
  <si>
    <t>https://drive.google.com/file/d/1h49PFU3P8oAfViCpTTXrsnEByjKY-O_G/view?usp=drive_link</t>
  </si>
  <si>
    <t>Collin Vaughan</t>
  </si>
  <si>
    <t>Walnut Grove</t>
  </si>
  <si>
    <t>Dallas Tigers</t>
  </si>
  <si>
    <t>6'0</t>
  </si>
  <si>
    <t>https://drive.google.com/file/d/1KU1ftYHPc15ZS0Kz70XNMYGiTeP-DCiC/view?usp=drive_link</t>
  </si>
  <si>
    <t>https://drive.google.com/file/d/1Yyv4fYHTu17nI4pEGkNa3Kj4M_eyCPKK/view?usp=drive_link</t>
  </si>
  <si>
    <t>https://drive.google.com/file/d/1hbQjGySwzqkoq9rtfSU9eS3vCROTyTNN/view?usp=drive_link</t>
  </si>
  <si>
    <t>Harrison Coneway</t>
  </si>
  <si>
    <t>Panther Creek</t>
  </si>
  <si>
    <t>Frozen Ropes</t>
  </si>
  <si>
    <t>OF/1B</t>
  </si>
  <si>
    <t>https://drive.google.com/file/d/1Bg1d7bLdgk7HD1dHCh1821JagU4XafBN/view?usp=drive_link</t>
  </si>
  <si>
    <t>https://drive.google.com/file/d/1rWhQ0UochRS0_BRUGInT-a8DLE8TTg0s/view?usp=drive_link</t>
  </si>
  <si>
    <t>Vince Long</t>
  </si>
  <si>
    <t>Guyer</t>
  </si>
  <si>
    <t>Canes</t>
  </si>
  <si>
    <t>3B</t>
  </si>
  <si>
    <t>https://drive.google.com/file/d/1EPh3RvC8pbnupYlrOKBGhBAongtysCKy/view?usp=drive_link</t>
  </si>
  <si>
    <t>https://drive.google.com/file/d/1bJ1oqgC78CGyLlKI_o-x5YqxpRaz_AQC/view?usp=drive_link</t>
  </si>
  <si>
    <t>Noah Satine</t>
  </si>
  <si>
    <t>Argyle</t>
  </si>
  <si>
    <t>Spartans-Bishop</t>
  </si>
  <si>
    <t>2B/OF</t>
  </si>
  <si>
    <t>https://drive.google.com/file/d/18FBPQdDwHzfjwK-4oaSwdXkveH2CGQ3W/view?usp=drive_link</t>
  </si>
  <si>
    <t>https://drive.google.com/file/d/1gy6P5CzzksxLroxHvhDXWxjhrWGZS5lG/view?usp=drive_link</t>
  </si>
  <si>
    <t>https://drive.google.com/file/d/1lhiIXhUL9jnxNj43N9eiXBlkDbyN-yCP/view?usp=drive_link</t>
  </si>
  <si>
    <t>Ford Stratton</t>
  </si>
  <si>
    <t>Coram Deo Academy</t>
  </si>
  <si>
    <t>1B</t>
  </si>
  <si>
    <t>6'1</t>
  </si>
  <si>
    <t>Jack Snakenberg</t>
  </si>
  <si>
    <t>LHP</t>
  </si>
  <si>
    <t>5'11</t>
  </si>
  <si>
    <t>https://drive.google.com/file/d/1eo0fhuGqdzQH8-_p4nuKjKPtpjcaC7Pi/view?usp=drive_link</t>
  </si>
  <si>
    <t>https://drive.google.com/file/d/1DPyawnfZYIxlriOxSxCRaIjZt3XBDgr5/view?usp=drive_link</t>
  </si>
  <si>
    <t>Koji Paul (Hitter)</t>
  </si>
  <si>
    <t>Wylie</t>
  </si>
  <si>
    <t>WOW Factor</t>
  </si>
  <si>
    <t>OF</t>
  </si>
  <si>
    <t>Preston Steeno</t>
  </si>
  <si>
    <t>Lewisville</t>
  </si>
  <si>
    <t>Dallas Patriots</t>
  </si>
  <si>
    <t>5'10</t>
  </si>
  <si>
    <t>Andy Torres</t>
  </si>
  <si>
    <t>University of Baseball</t>
  </si>
  <si>
    <t>1B/OF</t>
  </si>
  <si>
    <t>https://drive.google.com/file/d/1k1xcGqbYPETjobysIlzU3ayRHBUEo642/view?usp=drive_link</t>
  </si>
  <si>
    <t>https://drive.google.com/file/d/108DhPagZiWYCMy_ah5kkFEoymjnv0nAH/view?usp=drive_link</t>
  </si>
  <si>
    <t>https://drive.google.com/file/d/1UGYfRKxdV9j-qExtPuhnHqAJ3Ix23s9F/view?usp=drive_link</t>
  </si>
  <si>
    <t>Mason Duncan</t>
  </si>
  <si>
    <t>6'5</t>
  </si>
  <si>
    <t>https://drive.google.com/file/d/1IXzTB7hmoMHZR4TeHMfLmtmyn-v4hm-i/view?usp=drive_link</t>
  </si>
  <si>
    <t>https://drive.google.com/file/d/1mWgmqv_ZOh5TwILjCZINU4Hg-1tw4IFW/view?usp=drive_link</t>
  </si>
  <si>
    <t>https://drive.google.com/file/d/1vN--Jx16T1zna5hYpu_BOzkF1h31N_Gw/view?usp=drive_link</t>
  </si>
  <si>
    <t>Donnie Hooten</t>
  </si>
  <si>
    <t>Tom Bean</t>
  </si>
  <si>
    <t>6'2</t>
  </si>
  <si>
    <t>https://drive.google.com/file/d/1Sf4Mkp0nwztcEC738YepPEV0ysKVXL0p/view?usp=drive_link</t>
  </si>
  <si>
    <t>https://drive.google.com/file/d/1KiA7sEFQJdr4xpQjeBVmjnGXjBMVuw6A/view?usp=drive_link</t>
  </si>
  <si>
    <t>https://drive.google.com/file/d/1-tkf4yng_C07io5YT1CaQOtoDTXeRCYS/view?usp=drive_link</t>
  </si>
  <si>
    <t>Lucas Arnold</t>
  </si>
  <si>
    <t>Liberty Christian</t>
  </si>
  <si>
    <t>Dulins</t>
  </si>
  <si>
    <t>3B/OF</t>
  </si>
  <si>
    <t>https://drive.google.com/file/d/1pt6bUXWNwUw6mgfo8dBjkCow2NhcG1eQ/view?usp=drive_link</t>
  </si>
  <si>
    <t>https://drive.google.com/file/d/1ufBWis6EY0jyC-iNvlzJ3dsrm1u1Sjmf/view?usp=drive_link</t>
  </si>
  <si>
    <t>https://drive.google.com/file/d/1Smbd1Th4efHcaX1koY-H7AeQpt1cNxuy/view?usp=drive_link</t>
  </si>
  <si>
    <t>Blake Lyle</t>
  </si>
  <si>
    <t>https://drive.google.com/file/d/1xuhmlRCTPxZzFRtuZYoNRhH6T9q6kiD5/view?usp=drive_link</t>
  </si>
  <si>
    <t>https://drive.google.com/file/d/1JO7mnYnF6D5jX7wQAhJDT2npDQAfft6W/view?usp=drive_link</t>
  </si>
  <si>
    <t>Caleb Hunter</t>
  </si>
  <si>
    <t>Marcus</t>
  </si>
  <si>
    <t>Impact</t>
  </si>
  <si>
    <t>2B</t>
  </si>
  <si>
    <t>Zander Zangoei</t>
  </si>
  <si>
    <t>Corner INF</t>
  </si>
  <si>
    <t>Blake Stewart</t>
  </si>
  <si>
    <t>USA Prime</t>
  </si>
  <si>
    <t>Matthew Siskowski</t>
  </si>
  <si>
    <t>NTX Titans</t>
  </si>
  <si>
    <t>Linkyn Fuller</t>
  </si>
  <si>
    <t>Little Elm</t>
  </si>
  <si>
    <t>Durner</t>
  </si>
  <si>
    <t>5'9</t>
  </si>
  <si>
    <t>Athlete</t>
  </si>
  <si>
    <t>Motor Preference</t>
  </si>
  <si>
    <t>Associated/ Disassociated</t>
  </si>
  <si>
    <t>Extension Leg</t>
  </si>
  <si>
    <t>Supination / Pronation</t>
  </si>
  <si>
    <t>Axial/Large</t>
  </si>
  <si>
    <t>Vertical/ Horizontal</t>
  </si>
  <si>
    <t>Motor Shoulder</t>
  </si>
  <si>
    <t>Motor Eye</t>
  </si>
  <si>
    <t>Breathe In / Out</t>
  </si>
  <si>
    <t>Focal/Global Vision</t>
  </si>
  <si>
    <t>Red/Blue</t>
  </si>
  <si>
    <t>Point 1</t>
  </si>
  <si>
    <t>Point 2</t>
  </si>
  <si>
    <t>Point 3</t>
  </si>
  <si>
    <t>Point 4</t>
  </si>
  <si>
    <t>Aerial</t>
  </si>
  <si>
    <t>Disassociated</t>
  </si>
  <si>
    <t>Right</t>
  </si>
  <si>
    <t>Supination</t>
  </si>
  <si>
    <t>Large</t>
  </si>
  <si>
    <t>Horizontal</t>
  </si>
  <si>
    <t>Breathe Out</t>
  </si>
  <si>
    <t>Global</t>
  </si>
  <si>
    <t>Red</t>
  </si>
  <si>
    <t>Right Forefoot</t>
  </si>
  <si>
    <t>Right Heel</t>
  </si>
  <si>
    <t>Terrestrial</t>
  </si>
  <si>
    <t>Pronation</t>
  </si>
  <si>
    <t>Vertical</t>
  </si>
  <si>
    <t>Left</t>
  </si>
  <si>
    <t>Breathe In</t>
  </si>
  <si>
    <t>Focal</t>
  </si>
  <si>
    <t>Blue</t>
  </si>
  <si>
    <t>Left Forefoot</t>
  </si>
  <si>
    <t>Axial</t>
  </si>
  <si>
    <t>Left Heel</t>
  </si>
  <si>
    <t>Associated</t>
  </si>
  <si>
    <t>Left (possible dysfunction)</t>
  </si>
  <si>
    <t>Axial (close test)</t>
  </si>
  <si>
    <t>Horizontal (close test)</t>
  </si>
  <si>
    <t>Vertical (close)</t>
  </si>
  <si>
    <t>Name</t>
  </si>
  <si>
    <t>Test Date</t>
  </si>
  <si>
    <t>Test Number</t>
  </si>
  <si>
    <t xml:space="preserve">Body Weight </t>
  </si>
  <si>
    <t>4lb MB Shot Put (Left)</t>
  </si>
  <si>
    <t>4lb MB Shot Put (Right)</t>
  </si>
  <si>
    <t>Vert- Regular</t>
  </si>
  <si>
    <t>Vert- CMJ</t>
  </si>
  <si>
    <t>Vert- Step In</t>
  </si>
  <si>
    <t>Squat (1.00% BW)</t>
  </si>
  <si>
    <t>Bench Speed (.75% BW)</t>
  </si>
  <si>
    <t>Trap Bar (1.25% BW)</t>
  </si>
  <si>
    <t>Triple Broad Jump</t>
  </si>
  <si>
    <t>Date</t>
  </si>
  <si>
    <t>FB Velo (Max)</t>
  </si>
  <si>
    <t>FB Velo (Avg)</t>
  </si>
  <si>
    <t>Pitch 1</t>
  </si>
  <si>
    <t>Pitch 2</t>
  </si>
  <si>
    <t>Pitch 3</t>
  </si>
  <si>
    <t>Pitch 4</t>
  </si>
  <si>
    <t>Pitch 5</t>
  </si>
  <si>
    <t>Strengths</t>
  </si>
  <si>
    <t>Weaknesses</t>
  </si>
  <si>
    <t>Goals</t>
  </si>
  <si>
    <t>4S</t>
  </si>
  <si>
    <t>SL</t>
  </si>
  <si>
    <t>CH</t>
  </si>
  <si>
    <t>Competitive</t>
  </si>
  <si>
    <t>Inexperienced</t>
  </si>
  <si>
    <t>Contribute for Southlake on the mound this season, stay healthy</t>
  </si>
  <si>
    <t>CB</t>
  </si>
  <si>
    <t>Velocity, taking criticism</t>
  </si>
  <si>
    <t>Gain velocity, improve command, better mechanics</t>
  </si>
  <si>
    <t>SK</t>
  </si>
  <si>
    <t>Command</t>
  </si>
  <si>
    <t>Velocity</t>
  </si>
  <si>
    <t>increase velocity</t>
  </si>
  <si>
    <t>2S</t>
  </si>
  <si>
    <t>SW</t>
  </si>
  <si>
    <t>Velocity, stuff</t>
  </si>
  <si>
    <t>Cerebral, command</t>
  </si>
  <si>
    <t>Consistency, velocity</t>
  </si>
  <si>
    <t>increase velocity, have colleges reaching out</t>
  </si>
  <si>
    <t>Competitive/Bulldog</t>
  </si>
  <si>
    <t>late arm, inexperience</t>
  </si>
  <si>
    <t>hit 90 more consistently while healthy, eventually sit low 90s</t>
  </si>
  <si>
    <t>Strike thrower, wants the ball</t>
  </si>
  <si>
    <t>velocity, tendency to get hit around</t>
  </si>
  <si>
    <t>improve mechanics for velo, range of motion, hit 90 MPH</t>
  </si>
  <si>
    <t>SPL</t>
  </si>
  <si>
    <t>overthinker, inconsistent delivery</t>
  </si>
  <si>
    <t>Sit low 80s, more consistency with all pitches, sit 83-85 in a year</t>
  </si>
  <si>
    <t>Velocity, moving fast</t>
  </si>
  <si>
    <t>Hit 90, commit to a school</t>
  </si>
  <si>
    <t>Driving ball oppo/up the middle, FBs middle/away, hits velo well</t>
  </si>
  <si>
    <t xml:space="preserve">Posture, leaning back on inside pitches, stopping swing early instead of fully finishing </t>
  </si>
  <si>
    <t>improve exit velocity, pull the ball in the air</t>
  </si>
  <si>
    <t>aggressive mentality, bulldog</t>
  </si>
  <si>
    <t>Velocity, inconsistent mechanics, leaky front side</t>
  </si>
  <si>
    <t>Improve mechanics, consistency, velo, be ready for college ball</t>
  </si>
  <si>
    <t>FB</t>
  </si>
  <si>
    <t>Range of motion, competitive, likes controlling the game</t>
  </si>
  <si>
    <t>Velocity, engaging lower half</t>
  </si>
  <si>
    <t>Sit 85, consistency with changeup, becoming more of a "pitcher"</t>
  </si>
  <si>
    <t>Velo, deception, extension, control, slider for strike</t>
  </si>
  <si>
    <t>Changeup, command, erratic with slide step, tendency to get too rotational</t>
  </si>
  <si>
    <t>Consistent 4 pitch mix, sustain and increase velo</t>
  </si>
  <si>
    <t>Strong competitor/athlete</t>
  </si>
  <si>
    <t>Velo, inexperience pitching</t>
  </si>
  <si>
    <t>Gain velocity.</t>
  </si>
  <si>
    <t>Strike thrower, projectability, easy mechanics, bulldog</t>
  </si>
  <si>
    <t>Velocity, tendency to start moving too fast/get sped up</t>
  </si>
  <si>
    <t>SNK</t>
  </si>
  <si>
    <t>Staying positive, adjustability</t>
  </si>
  <si>
    <t>Overthinking</t>
  </si>
  <si>
    <t xml:space="preserve">Hit 90, 65% strikes; stay healthy/consistent; play D1 </t>
  </si>
  <si>
    <t>Making adjustments mid game</t>
  </si>
  <si>
    <t>Short: velo up to 82; Medium: on varsity by junior year; Long: play college baseball</t>
  </si>
  <si>
    <t>Velocity, movement on pitches</t>
  </si>
  <si>
    <t>Command, overthinking</t>
  </si>
  <si>
    <t>Short: put on weight, improve command, feel more confident; Long: play college baseball</t>
  </si>
  <si>
    <t>Mental toughness</t>
  </si>
  <si>
    <t>Velocity, command, offspeed for strikes</t>
  </si>
  <si>
    <t>KN</t>
  </si>
  <si>
    <t>Body Weight</t>
  </si>
  <si>
    <t>IR</t>
  </si>
  <si>
    <t>ER</t>
  </si>
  <si>
    <t>Scaption</t>
  </si>
  <si>
    <t>Grip</t>
  </si>
  <si>
    <t>Total Score</t>
  </si>
  <si>
    <t>Context 1</t>
  </si>
  <si>
    <t>Context 2</t>
  </si>
  <si>
    <t>Context 3</t>
  </si>
  <si>
    <t>Context 4</t>
  </si>
  <si>
    <t>Context 5</t>
  </si>
  <si>
    <t>Threw 50+ innings in 8th grade</t>
  </si>
  <si>
    <t>Up to 87 summer going into freshman year</t>
  </si>
  <si>
    <t>Primarily a MIF but wants to get back to pitching</t>
  </si>
  <si>
    <t>Has trained at A.P.E. And with Dechant in the past</t>
  </si>
  <si>
    <t>Also wrestles at Flower Mound</t>
  </si>
  <si>
    <t>Lessons with Jared Sanridge</t>
  </si>
  <si>
    <t>Trains at school</t>
  </si>
  <si>
    <t>Gained 20 pounds (went from 130-150) and saw no velo increase</t>
  </si>
  <si>
    <t>went to Texas Baseball Ranch in November--told him forearm flyout and back leg drive</t>
  </si>
  <si>
    <t>worked with Tyler Winfield before Nomad</t>
  </si>
  <si>
    <t>Worked out with Nick Daley out of Rockwall</t>
  </si>
  <si>
    <t>Has trained at PWR Lab for the past 2 years</t>
  </si>
  <si>
    <t>Trained with Jake at The Vault until recently</t>
  </si>
  <si>
    <t>Recently got up to 89 in live ABs but have not hit 90 yet</t>
  </si>
  <si>
    <t>Pitched with Bodzin freshman year</t>
  </si>
  <si>
    <t>been working a lot on mobility recently</t>
  </si>
  <si>
    <t>Played varsity as a freshman last year</t>
  </si>
  <si>
    <t>Has done marching band, this will be the last year—plays bass drum</t>
  </si>
  <si>
    <t>Pitching Lessons: Bradley Eli at Tigers facility in Prosper for two years</t>
  </si>
  <si>
    <t>Very literal — his words, discus in HS</t>
  </si>
  <si>
    <t>Committed to Cisco College (2-way)</t>
  </si>
  <si>
    <t>Didn't pitch much junior year</t>
  </si>
  <si>
    <t>Did STRIKE program a couple years ago</t>
  </si>
  <si>
    <t>Hip issues (low left back/high hip), mostly feels when pitching</t>
  </si>
  <si>
    <t>Crohn's Disease, had surgery to remove part of his ileum freshman year</t>
  </si>
  <si>
    <t>Iron deficiency, takes iron supplements</t>
  </si>
  <si>
    <t>Recent sleep issues</t>
  </si>
  <si>
    <t>Does not get along well with Argyle head coach</t>
  </si>
  <si>
    <t>Overthinker, has ADHD, needs simple thoughts on the mound</t>
  </si>
  <si>
    <t>Went to Texas Baseball Ranch this past summer</t>
  </si>
  <si>
    <t>Has/had pitching lessons weekly w/ David Bodzin</t>
  </si>
  <si>
    <t>Very learned throw</t>
  </si>
  <si>
    <t>Consistent low back pain/tightness</t>
  </si>
  <si>
    <t>Plays QB for Argyle</t>
  </si>
  <si>
    <t>Recruiting conversations with DBU/Northwestern, mostly set on D1, open to elite JUCO</t>
  </si>
  <si>
    <t>Trained at PMT last year, went to ZL in summer</t>
  </si>
  <si>
    <t>Trained with Jake Johansen for year and a half, gained 30 lbs</t>
  </si>
  <si>
    <t>Bad throwing mechanics</t>
  </si>
  <si>
    <t>Tight hips, limited hip IR</t>
  </si>
  <si>
    <t>Poor diet, lots of junk food and soda</t>
  </si>
  <si>
    <t>Trained at STRIKE for past 3 years</t>
  </si>
  <si>
    <t>Inconsistent sleep schedule, needs a YouTube video or white noise</t>
  </si>
  <si>
    <t>History of spondi</t>
  </si>
  <si>
    <t>Works at Main Event 8-20 hours a week</t>
  </si>
  <si>
    <t>Plateaued in velo since summer</t>
  </si>
  <si>
    <t>Put on ~10 lbs since beginning of school year</t>
  </si>
  <si>
    <t>Played 4 sports in middle school</t>
  </si>
  <si>
    <t>Lifts everyday</t>
  </si>
  <si>
    <t>Low back tightness from time to time</t>
  </si>
  <si>
    <t>Recently committed to Texas State</t>
  </si>
  <si>
    <t>Jumped 9 MPH freshman year</t>
  </si>
  <si>
    <t>Very school smart</t>
  </si>
  <si>
    <t>Tight hips, left hamstring apothesitis</t>
  </si>
  <si>
    <t>Worked with Bodzin since start of last year</t>
  </si>
  <si>
    <t>QB for Tom Bean, very good, D1 looks</t>
  </si>
  <si>
    <t>Hasn't really pitched in 4-5 years</t>
  </si>
  <si>
    <t>Kicks and punts for school</t>
  </si>
  <si>
    <t>Trains on his own</t>
  </si>
  <si>
    <t>Plays QB for Liberty Christian</t>
  </si>
  <si>
    <t>Lessons with Ryan Sullins in past, now Linty Ingram</t>
  </si>
  <si>
    <t xml:space="preserve">Trains at PMT performance </t>
  </si>
  <si>
    <t>No real injury history</t>
  </si>
  <si>
    <t>8-9 varsity appearances for Walnut Grove as a freshman</t>
  </si>
  <si>
    <t>Has 3 brothers, zero baseball experience in family</t>
  </si>
  <si>
    <t>Lessons once a week with Jake Jackson</t>
  </si>
  <si>
    <t>Plays football, will play at Marcus</t>
  </si>
  <si>
    <t>Plays for Impact select — tournaments through end of June</t>
  </si>
  <si>
    <t>Plays 2B when not pitching</t>
  </si>
  <si>
    <t>Pitching lessons with Kyle Abbott at D-Bat; Hitting lessons with Frank at Train Station in Argyle; PC at middle school</t>
  </si>
  <si>
    <t>More pitcher than hitter; January 9 birthday</t>
  </si>
  <si>
    <t>Played basketball until HS</t>
  </si>
  <si>
    <t>Pitching lessons with Kyle Abbott from 9-current — worked on using lower body better to take tension off elbow and shoulder</t>
  </si>
  <si>
    <t>Hitting lessons with Brendan at D-Bat; Personal trainer Jose</t>
  </si>
  <si>
    <t>Mentality: in the middle</t>
  </si>
  <si>
    <t>Played basketball growing up</t>
  </si>
  <si>
    <t>Works out at Train PMT (for a year); school workouts</t>
  </si>
  <si>
    <t>Pitching lessons with Kyle Abbott for a long time</t>
  </si>
  <si>
    <t>CH is best pitch</t>
  </si>
  <si>
    <t>Dad played college baseball at UT Pan-Am (now UTRGV)</t>
  </si>
  <si>
    <t>Works out on own; hitting lessons with Chad Treadaway in Haslet</t>
  </si>
  <si>
    <t>Never done any formal training</t>
  </si>
  <si>
    <t>Plays for NTX Titans (coach: Gallegos)</t>
  </si>
  <si>
    <t>Injury 1</t>
  </si>
  <si>
    <t>Injury 1 Date</t>
  </si>
  <si>
    <t>Injury 1 Recovery</t>
  </si>
  <si>
    <t>Injury 2</t>
  </si>
  <si>
    <t>Injury 2 Date</t>
  </si>
  <si>
    <t>Injury 2 Recovery</t>
  </si>
  <si>
    <t>Injury 3</t>
  </si>
  <si>
    <t>Injury 3 Date</t>
  </si>
  <si>
    <t>Injury 3 Recovery</t>
  </si>
  <si>
    <t>Partial UCL tear</t>
  </si>
  <si>
    <t>Rest, rehab at TMI</t>
  </si>
  <si>
    <t>Tennis elbow</t>
  </si>
  <si>
    <t>Rest</t>
  </si>
  <si>
    <t>Growth plate fracture R shoulder</t>
  </si>
  <si>
    <t>Stress fracture R elbow</t>
  </si>
  <si>
    <t>Seaver's in heel of left foot</t>
  </si>
  <si>
    <t>Current</t>
  </si>
  <si>
    <t>Uncertain</t>
  </si>
  <si>
    <t>R elbow growth plate injury</t>
  </si>
  <si>
    <t>Rest, rehab</t>
  </si>
  <si>
    <t>Pulled quad</t>
  </si>
  <si>
    <t>L5 fracture</t>
  </si>
  <si>
    <t>rest, rehab</t>
  </si>
  <si>
    <t>Nagging shoulder pain</t>
  </si>
  <si>
    <t>Sprained UCL</t>
  </si>
  <si>
    <t>Rest, saw Meister</t>
  </si>
  <si>
    <t>Elbow pain/tendinitis</t>
  </si>
  <si>
    <t>High hip/low back issues</t>
  </si>
  <si>
    <t>PT</t>
  </si>
  <si>
    <t>Ileum surgery - Crohn's Disease</t>
  </si>
  <si>
    <t>Broken right fibula, dropped weight on leg doing stepups</t>
  </si>
  <si>
    <t>Full rehab</t>
  </si>
  <si>
    <t>Consistent low back discomfort</t>
  </si>
  <si>
    <t>Soft tissue work</t>
  </si>
  <si>
    <t>Medial elbow soreness (time to time)</t>
  </si>
  <si>
    <t>Evulsion fracture in spring 2025 while running to 1B</t>
  </si>
  <si>
    <t>Crutches, rest, rehab</t>
  </si>
  <si>
    <t>Growth plate fracture</t>
  </si>
  <si>
    <t>Strained left calf</t>
  </si>
  <si>
    <t>Strained right hip flexor</t>
  </si>
  <si>
    <t>Right meniscus tear</t>
  </si>
  <si>
    <t>Rehab, no issues since</t>
  </si>
  <si>
    <t>Spondi</t>
  </si>
  <si>
    <t>Ongoing anterior shoulder/bicep attachment soreness</t>
  </si>
  <si>
    <t>Torn left hamstring (high lateral attachment)</t>
  </si>
  <si>
    <t>Broke both arms (left twice, right once)</t>
  </si>
  <si>
    <t>Rehab</t>
  </si>
  <si>
    <t>Occasional low back tightness</t>
  </si>
  <si>
    <t>Right shoulder growth plate stress fracture</t>
  </si>
  <si>
    <t>2 months off, PT</t>
  </si>
  <si>
    <t>Left hamstring apothesitis</t>
  </si>
  <si>
    <t>Right hip overuse/inflammation</t>
  </si>
  <si>
    <t>Rest, limited mobility in right hip</t>
  </si>
  <si>
    <t>Occasional soreness in lateral shoulder</t>
  </si>
  <si>
    <t>None</t>
  </si>
  <si>
    <t>Fractured toe</t>
  </si>
  <si>
    <t>Basketball (past year)</t>
  </si>
  <si>
    <t>General bicep soreness from throwing</t>
  </si>
  <si>
    <t>Shoulder flare up</t>
  </si>
  <si>
    <t>Spring 2025 (Jan/Feb)</t>
  </si>
  <si>
    <t>Two vertebral fractures, out 6 months (in PC)</t>
  </si>
  <si>
    <t>Fall 2025</t>
  </si>
  <si>
    <t>came back right before</t>
  </si>
  <si>
    <t>Observation 1</t>
  </si>
  <si>
    <t>Observation 2</t>
  </si>
  <si>
    <t>Observation 3</t>
  </si>
  <si>
    <t>Observation 4</t>
  </si>
  <si>
    <t>Observation 5</t>
  </si>
  <si>
    <t>Observation 6</t>
  </si>
  <si>
    <t>limited dorsiflexion bilateral</t>
  </si>
  <si>
    <t>R elbow limited extension (slight)</t>
  </si>
  <si>
    <t>L hip higher (significant)</t>
  </si>
  <si>
    <t>R femur ER</t>
  </si>
  <si>
    <t>ankles in plantar flexion (bilateral)</t>
  </si>
  <si>
    <t>Loose shoulders</t>
  </si>
  <si>
    <t>stuck in R lateral flexion</t>
  </si>
  <si>
    <t>can't hold rotation</t>
  </si>
  <si>
    <t>no decel fascial sling</t>
  </si>
  <si>
    <t>tight everywhere but it seems neurological; very guarded in joints</t>
  </si>
  <si>
    <t>stuck in extension</t>
  </si>
  <si>
    <t>Square 1 helped increase mobility right away--can use this in the future</t>
  </si>
  <si>
    <t>L femur ER</t>
  </si>
  <si>
    <t>Head tilt R</t>
  </si>
  <si>
    <t>Rotated L</t>
  </si>
  <si>
    <t>R shoulder limited IR</t>
  </si>
  <si>
    <t>R hip limited IR</t>
  </si>
  <si>
    <t>tight hip flexors</t>
  </si>
  <si>
    <t>L leg ER + abduction</t>
  </si>
  <si>
    <t>R Hip limited IR</t>
  </si>
  <si>
    <t>limited shoulder IR bilateral</t>
  </si>
  <si>
    <t>strong in positions, weaker moving in and out of positions</t>
  </si>
  <si>
    <t>flat feet--varus</t>
  </si>
  <si>
    <t>loose jointed</t>
  </si>
  <si>
    <t>limited core stability</t>
  </si>
  <si>
    <t>Trunk rotated R</t>
  </si>
  <si>
    <t>R leg longer</t>
  </si>
  <si>
    <t>Head rotated R</t>
  </si>
  <si>
    <t>Limited Hip IR bilateral</t>
  </si>
  <si>
    <t>L elbow limited extension (slight)</t>
  </si>
  <si>
    <t>Limited shoulder IR bilateral</t>
  </si>
  <si>
    <t>Tight hips, limited IR</t>
  </si>
  <si>
    <t>R hamstring tight (significant)</t>
  </si>
  <si>
    <t>stuck in plantar flexion</t>
  </si>
  <si>
    <t>limited spine extension</t>
  </si>
  <si>
    <t>Pelvis rotated right, trunk rotated left</t>
  </si>
  <si>
    <t>Right hip ER</t>
  </si>
  <si>
    <t>Left ankle pronation</t>
  </si>
  <si>
    <t>Laterally flexed R</t>
  </si>
  <si>
    <t>Right scap abducted</t>
  </si>
  <si>
    <t>Protruding abdomen, flat pelvis, sticks out</t>
  </si>
  <si>
    <t>Right hip higher and in ER</t>
  </si>
  <si>
    <t>Pelvis rotated left</t>
  </si>
  <si>
    <t>Loose shoulders, tight lower half</t>
  </si>
  <si>
    <t>Stuck in extension, rib flare, poor breathing pattern</t>
  </si>
  <si>
    <t>Left leg longer</t>
  </si>
  <si>
    <t>Left lateral flexion</t>
  </si>
  <si>
    <t>Trunk rotated right</t>
  </si>
  <si>
    <t>Left hip lower ROM; Left hip limited IR</t>
  </si>
  <si>
    <t>Limited R elbow extension (growth plate surgery); Motor shoulder posture rotated right (observe)</t>
  </si>
  <si>
    <t>R Hip ER</t>
  </si>
  <si>
    <t>L hip hike / R hip lower</t>
  </si>
  <si>
    <t>R lateral flexion</t>
  </si>
  <si>
    <t>Tight lower half — hamstrings, hips; Limited IR bilateral</t>
  </si>
  <si>
    <t>Shoulders sticky but moderately loose; Limited shoulder IR bilateral</t>
  </si>
  <si>
    <t>Body</t>
  </si>
  <si>
    <t>Performance</t>
  </si>
  <si>
    <t>Pitching</t>
  </si>
  <si>
    <t>Bulletproof arm</t>
  </si>
  <si>
    <t>add strength, keep athletic qualities</t>
  </si>
  <si>
    <t>clean up arm action, learn to relax into the throw; stay tall on back leg (back extension leg aerial), low 3/4 arm slot (horizontal)</t>
  </si>
  <si>
    <t>Spine work (t-spine specific), shoulder stability</t>
  </si>
  <si>
    <t>strength, power, speed</t>
  </si>
  <si>
    <t>use front motor shoulder, need to find optimal back leg depth, better direction (strides open), play around with arm slot</t>
  </si>
  <si>
    <t>work on rotation and deceleration</t>
  </si>
  <si>
    <t>needs everything</t>
  </si>
  <si>
    <t>does a lot of things really well; needs to shorten stride and not do so much with back leg; definitely need to work on decel pattern (pimp the finish)</t>
  </si>
  <si>
    <t>Have to get the mind and the body to relax. Stuck in a state of anxiety and extension. Need to get more terrestrial. Create more rhythm and fluidity in movements</t>
  </si>
  <si>
    <t>Trains at PWR Lab--needs more flexion</t>
  </si>
  <si>
    <t>Lowered the arm slot to match horizontal preference; get front foot down sooner and not try to stride far; need to improve decel pattern; overall goal is to become more fluid with everything</t>
  </si>
  <si>
    <t>work on upper body strength, t-spine mobility</t>
  </si>
  <si>
    <t>well rounded training plan with respect to him being aerial associated; have to be careful with heavy compound lifts and find ways to drive strength without loading the spine</t>
  </si>
  <si>
    <t>stay tall on back side, utilize flexion/extension of the spine, improve direction to the plate</t>
  </si>
  <si>
    <t>needs to learn how to hold the ground; variability, rhythm work</t>
  </si>
  <si>
    <t>arm action: get arm to spiral and catch deeper; need to improve decel pattern</t>
  </si>
  <si>
    <t>increase spine mobility, bulletproof the shoulder</t>
  </si>
  <si>
    <t>more aerial</t>
  </si>
  <si>
    <t>keep trunk/pelvis stacked (shoots into early hip extension); utilize front motor shoulder to pull down into rotation; timing!!</t>
  </si>
  <si>
    <t>needs a ton of stability work</t>
  </si>
  <si>
    <t>well rounded training plan; needs overall stability and athleticism along with strength/output; more aerial</t>
  </si>
  <si>
    <t>need to find his natural throw; lots of athletic throwing and variability throwing; simplify the thoughts, not so mechanical</t>
  </si>
  <si>
    <t>shed some body fat, improve spine mobility</t>
  </si>
  <si>
    <t>more output</t>
  </si>
  <si>
    <t>arm action: gets pushy at times, need to work on loose flip up and getting arm to catch deeper; lower half depth</t>
  </si>
  <si>
    <t>put on weight</t>
  </si>
  <si>
    <t>strength, power</t>
  </si>
  <si>
    <t>Hitting: play into axial motor preference; needs to get the ball more out front, work on pulling ball in the air; right motor shoulder punch through contact, one hand finish</t>
  </si>
  <si>
    <t>clean up diet</t>
  </si>
  <si>
    <t>Date 1</t>
  </si>
  <si>
    <t>Notes</t>
  </si>
  <si>
    <t>Video</t>
  </si>
  <si>
    <t>Date 2</t>
  </si>
  <si>
    <t xml:space="preserve">Date 3 </t>
  </si>
  <si>
    <t xml:space="preserve">Notes </t>
  </si>
  <si>
    <t>eval day--infield throws to see natural slot and axial or large--horizontal for sure, looks axial</t>
  </si>
  <si>
    <t>https://drive.google.com/file/d/1IQwPU7XXCBquNnaENoK0BTRCbxYN_E9m/view?usp=sharing</t>
  </si>
  <si>
    <t>First session after eval--worked on staying taller on back leg, staying closed, rotating late, direction</t>
  </si>
  <si>
    <t>https://drive.google.com/file/d/1zmZAIx4nkgR5OQ2OeylSGa_GgzIfaC04/view?usp=sharing</t>
  </si>
  <si>
    <t>good night on the mound--up to 82 in a pen for the first time in a while</t>
  </si>
  <si>
    <t>https://drive.google.com/file/d/1eYBEA3tFNHDyEmNbBUMG8VZnxoQK1Lsj/view?usp=sharing</t>
  </si>
  <si>
    <t>eval day--infield throws to stay loose and athletic and to find natural arm slot (horizontal)</t>
  </si>
  <si>
    <t>https://drive.google.com/file/d/1l2f37Dvkby9Ovs_cX8Z1puo-3IbsmSau/view?usp=sharing</t>
  </si>
  <si>
    <t>Worked on staying as relaxed as possible until footstrike. Trying to make velo feel as easy as possible</t>
  </si>
  <si>
    <t>https://drive.google.com/file/d/1vrifAcpbPUPFOVisaCjOAkg3i8RxcLLl/view?usp=sharing</t>
  </si>
  <si>
    <t>Worked on sticking the finish instead of letting the front foot spin; tight mover--stick it, not a recoil</t>
  </si>
  <si>
    <t>https://drive.google.com/file/d/1LX_nahowH7Q5Av39hwoMUyaJPDcpIfqp/view?usp=sharing</t>
  </si>
  <si>
    <t>Keeping center of mass behind him as he moves forward; forward creep to redirection to feed the mistake</t>
  </si>
  <si>
    <t>https://drive.google.com/file/d/1oJjTV1VeKO52XxIc5f4xeOCDSup4Le-4/view?usp=sharing</t>
  </si>
  <si>
    <t>Stay closed--use front motor shoulder but don't overexaggerate it</t>
  </si>
  <si>
    <t xml:space="preserve"> IMG_4271.MOV</t>
  </si>
  <si>
    <t>Back leg stability and pelvis stability on forward move; hurdle hop to stabilize back leg, work over hurdle to keep pelvis slightly tilted up</t>
  </si>
  <si>
    <t>https://drive.google.com/file/d/1cERq_QYOlFQiAFUbPc-EZhsD2rD-mJtz/view?usp=sharing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</si>
</sst>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"/>
    <numFmt numFmtId="165" formatCode="mmmm yyyy"/>
    <numFmt numFmtId="166" formatCode="mmm yyyy"/>
  </numFmts>
  <fonts count="1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color rgb="FF000000"/>
      <name val="Arial"/>
    </font>
    <font>
      <b/>
      <color theme="1"/>
      <name val="Arial"/>
    </font>
    <font>
      <color theme="1"/>
      <name val="Arial"/>
    </font>
    <font>
      <u/>
      <color rgb="FF0000FF"/>
    </font>
    <font>
      <u/>
      <color rgb="FF0000FF"/>
    </font>
    <font>
      <u/>
      <color rgb="FF0000FF"/>
    </font>
    <font>
      <color rgb="FF000000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readingOrder="0" shrinkToFit="0" wrapText="0"/>
    </xf>
    <xf borderId="0" fillId="0" fontId="2" numFmtId="0" xfId="0" applyAlignment="1" applyFont="1">
      <alignment horizontal="center"/>
    </xf>
    <xf borderId="0" fillId="0" fontId="5" numFmtId="0" xfId="0" applyAlignment="1" applyFont="1">
      <alignment horizontal="center" readingOrder="0" shrinkToFit="0" vertical="bottom" wrapText="0"/>
    </xf>
    <xf borderId="0" fillId="0" fontId="6" numFmtId="0" xfId="0" applyAlignment="1" applyFont="1">
      <alignment horizontal="center" shrinkToFit="0" wrapText="1"/>
    </xf>
    <xf borderId="0" fillId="0" fontId="6" numFmtId="0" xfId="0" applyAlignment="1" applyFont="1">
      <alignment horizontal="center" readingOrder="0" shrinkToFit="0" wrapText="1"/>
    </xf>
    <xf borderId="0" fillId="0" fontId="6" numFmtId="0" xfId="0" applyAlignment="1" applyFont="1">
      <alignment horizontal="center" readingOrder="0"/>
    </xf>
    <xf borderId="0" fillId="0" fontId="7" numFmtId="0" xfId="0" applyAlignment="1" applyFont="1">
      <alignment horizontal="center"/>
    </xf>
    <xf borderId="1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/>
    </xf>
    <xf borderId="1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vertical="bottom"/>
    </xf>
    <xf borderId="0" fillId="0" fontId="2" numFmtId="164" xfId="0" applyAlignment="1" applyFont="1" applyNumberFormat="1">
      <alignment horizontal="center" readingOrder="0"/>
    </xf>
    <xf borderId="0" fillId="0" fontId="5" numFmtId="0" xfId="0" applyAlignment="1" applyFont="1">
      <alignment horizontal="center" shrinkToFit="0" vertical="bottom" wrapText="0"/>
    </xf>
    <xf borderId="0" fillId="0" fontId="2" numFmtId="1" xfId="0" applyAlignment="1" applyFont="1" applyNumberFormat="1">
      <alignment horizontal="center" readingOrder="0"/>
    </xf>
    <xf borderId="0" fillId="0" fontId="2" numFmtId="1" xfId="0" applyAlignment="1" applyFont="1" applyNumberFormat="1">
      <alignment horizontal="center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horizontal="center" readingOrder="0"/>
    </xf>
    <xf borderId="0" fillId="0" fontId="2" numFmtId="166" xfId="0" applyAlignment="1" applyFont="1" applyNumberFormat="1">
      <alignment horizontal="center" readingOrder="0"/>
    </xf>
    <xf borderId="0" fillId="0" fontId="2" numFmtId="164" xfId="0" applyAlignment="1" applyFont="1" applyNumberForma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 shrinkToFit="0" wrapText="0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4" Type="http://schemas.openxmlformats.org/officeDocument/2006/relationships/worksheet" Target="worksheets/sheet1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eo0fhuGqdzQH8-_p4nuKjKPtpjcaC7Pi/view?usp=drive_link" TargetMode="External"/><Relationship Id="rId22" Type="http://schemas.openxmlformats.org/officeDocument/2006/relationships/hyperlink" Target="https://drive.google.com/file/d/1k1xcGqbYPETjobysIlzU3ayRHBUEo642/view?usp=drive_link" TargetMode="External"/><Relationship Id="rId21" Type="http://schemas.openxmlformats.org/officeDocument/2006/relationships/hyperlink" Target="https://drive.google.com/file/d/1DPyawnfZYIxlriOxSxCRaIjZt3XBDgr5/view?usp=drive_link" TargetMode="External"/><Relationship Id="rId24" Type="http://schemas.openxmlformats.org/officeDocument/2006/relationships/hyperlink" Target="https://drive.google.com/file/d/1UGYfRKxdV9j-qExtPuhnHqAJ3Ix23s9F/view?usp=drive_link" TargetMode="External"/><Relationship Id="rId23" Type="http://schemas.openxmlformats.org/officeDocument/2006/relationships/hyperlink" Target="https://drive.google.com/file/d/108DhPagZiWYCMy_ah5kkFEoymjnv0nAH/view?usp=drive_link" TargetMode="External"/><Relationship Id="rId1" Type="http://schemas.openxmlformats.org/officeDocument/2006/relationships/hyperlink" Target="https://drive.google.com/file/d/1EypgKD4iai_2bxYZ02LxfcuJRP61xiFY/view?usp=drive_link" TargetMode="External"/><Relationship Id="rId2" Type="http://schemas.openxmlformats.org/officeDocument/2006/relationships/hyperlink" Target="https://drive.google.com/file/d/1rMvDDg_jf1oDnBp3o8vLDcIiK32KosU3/view?usp=drive_link" TargetMode="External"/><Relationship Id="rId3" Type="http://schemas.openxmlformats.org/officeDocument/2006/relationships/hyperlink" Target="https://drive.google.com/file/d/1AmWmBwh-BB7tu9PmDYvfTvHWgRDw7GCh/view?usp=drive_link" TargetMode="External"/><Relationship Id="rId4" Type="http://schemas.openxmlformats.org/officeDocument/2006/relationships/hyperlink" Target="https://drive.google.com/file/d/1OEeTgB46qLePMLwnXfQTn2qnCTWbZz_8/view?usp=drive_link" TargetMode="External"/><Relationship Id="rId9" Type="http://schemas.openxmlformats.org/officeDocument/2006/relationships/hyperlink" Target="https://drive.google.com/file/d/1h49PFU3P8oAfViCpTTXrsnEByjKY-O_G/view?usp=drive_link" TargetMode="External"/><Relationship Id="rId26" Type="http://schemas.openxmlformats.org/officeDocument/2006/relationships/hyperlink" Target="https://drive.google.com/file/d/1mWgmqv_ZOh5TwILjCZINU4Hg-1tw4IFW/view?usp=drive_link" TargetMode="External"/><Relationship Id="rId25" Type="http://schemas.openxmlformats.org/officeDocument/2006/relationships/hyperlink" Target="https://drive.google.com/file/d/1IXzTB7hmoMHZR4TeHMfLmtmyn-v4hm-i/view?usp=drive_link" TargetMode="External"/><Relationship Id="rId28" Type="http://schemas.openxmlformats.org/officeDocument/2006/relationships/hyperlink" Target="https://drive.google.com/file/d/1Sf4Mkp0nwztcEC738YepPEV0ysKVXL0p/view?usp=drive_link" TargetMode="External"/><Relationship Id="rId27" Type="http://schemas.openxmlformats.org/officeDocument/2006/relationships/hyperlink" Target="https://drive.google.com/file/d/1vN--Jx16T1zna5hYpu_BOzkF1h31N_Gw/view?usp=drive_link" TargetMode="External"/><Relationship Id="rId5" Type="http://schemas.openxmlformats.org/officeDocument/2006/relationships/hyperlink" Target="https://drive.google.com/file/d/1OnsKMTO_bF0IO8f7TXoWdrTvZYKVbIQW/view?usp=drive_link" TargetMode="External"/><Relationship Id="rId6" Type="http://schemas.openxmlformats.org/officeDocument/2006/relationships/hyperlink" Target="https://drive.google.com/file/d/1ZfVs9YsxBWEdwQOJu5PCMF4sCznsjl3-/view?usp=drive_link" TargetMode="External"/><Relationship Id="rId29" Type="http://schemas.openxmlformats.org/officeDocument/2006/relationships/hyperlink" Target="https://drive.google.com/file/d/1KiA7sEFQJdr4xpQjeBVmjnGXjBMVuw6A/view?usp=drive_link" TargetMode="External"/><Relationship Id="rId7" Type="http://schemas.openxmlformats.org/officeDocument/2006/relationships/hyperlink" Target="https://drive.google.com/file/d/1mTDIkMk3n5Sq3LdJmFjJAzLsW5D_mwWf/view?usp=drive_link" TargetMode="External"/><Relationship Id="rId8" Type="http://schemas.openxmlformats.org/officeDocument/2006/relationships/hyperlink" Target="https://drive.google.com/file/d/1DDJaZRD7nyoN-F-rZullSVNzExsSPCj_/view?usp=drive_link" TargetMode="External"/><Relationship Id="rId31" Type="http://schemas.openxmlformats.org/officeDocument/2006/relationships/hyperlink" Target="https://drive.google.com/file/d/1pt6bUXWNwUw6mgfo8dBjkCow2NhcG1eQ/view?usp=drive_link" TargetMode="External"/><Relationship Id="rId30" Type="http://schemas.openxmlformats.org/officeDocument/2006/relationships/hyperlink" Target="https://drive.google.com/file/d/1-tkf4yng_C07io5YT1CaQOtoDTXeRCYS/view?usp=drive_link" TargetMode="External"/><Relationship Id="rId11" Type="http://schemas.openxmlformats.org/officeDocument/2006/relationships/hyperlink" Target="https://drive.google.com/file/d/1Yyv4fYHTu17nI4pEGkNa3Kj4M_eyCPKK/view?usp=drive_link" TargetMode="External"/><Relationship Id="rId33" Type="http://schemas.openxmlformats.org/officeDocument/2006/relationships/hyperlink" Target="https://drive.google.com/file/d/1Smbd1Th4efHcaX1koY-H7AeQpt1cNxuy/view?usp=drive_link" TargetMode="External"/><Relationship Id="rId10" Type="http://schemas.openxmlformats.org/officeDocument/2006/relationships/hyperlink" Target="https://drive.google.com/file/d/1KU1ftYHPc15ZS0Kz70XNMYGiTeP-DCiC/view?usp=drive_link" TargetMode="External"/><Relationship Id="rId32" Type="http://schemas.openxmlformats.org/officeDocument/2006/relationships/hyperlink" Target="https://drive.google.com/file/d/1ufBWis6EY0jyC-iNvlzJ3dsrm1u1Sjmf/view?usp=drive_link" TargetMode="External"/><Relationship Id="rId13" Type="http://schemas.openxmlformats.org/officeDocument/2006/relationships/hyperlink" Target="https://drive.google.com/file/d/1Bg1d7bLdgk7HD1dHCh1821JagU4XafBN/view?usp=drive_link" TargetMode="External"/><Relationship Id="rId35" Type="http://schemas.openxmlformats.org/officeDocument/2006/relationships/hyperlink" Target="https://drive.google.com/file/d/108DhPagZiWYCMy_ah5kkFEoymjnv0nAH/view?usp=drive_link" TargetMode="External"/><Relationship Id="rId12" Type="http://schemas.openxmlformats.org/officeDocument/2006/relationships/hyperlink" Target="https://drive.google.com/file/d/1hbQjGySwzqkoq9rtfSU9eS3vCROTyTNN/view?usp=drive_link" TargetMode="External"/><Relationship Id="rId34" Type="http://schemas.openxmlformats.org/officeDocument/2006/relationships/hyperlink" Target="https://drive.google.com/file/d/1xuhmlRCTPxZzFRtuZYoNRhH6T9q6kiD5/view?usp=drive_link" TargetMode="External"/><Relationship Id="rId15" Type="http://schemas.openxmlformats.org/officeDocument/2006/relationships/hyperlink" Target="https://drive.google.com/file/d/1EPh3RvC8pbnupYlrOKBGhBAongtysCKy/view?usp=drive_link" TargetMode="External"/><Relationship Id="rId37" Type="http://schemas.openxmlformats.org/officeDocument/2006/relationships/drawing" Target="../drawings/drawing1.xml"/><Relationship Id="rId14" Type="http://schemas.openxmlformats.org/officeDocument/2006/relationships/hyperlink" Target="https://drive.google.com/file/d/1rWhQ0UochRS0_BRUGInT-a8DLE8TTg0s/view?usp=drive_link" TargetMode="External"/><Relationship Id="rId36" Type="http://schemas.openxmlformats.org/officeDocument/2006/relationships/hyperlink" Target="https://drive.google.com/file/d/1JO7mnYnF6D5jX7wQAhJDT2npDQAfft6W/view?usp=drive_link" TargetMode="External"/><Relationship Id="rId17" Type="http://schemas.openxmlformats.org/officeDocument/2006/relationships/hyperlink" Target="https://drive.google.com/file/d/18FBPQdDwHzfjwK-4oaSwdXkveH2CGQ3W/view?usp=drive_link" TargetMode="External"/><Relationship Id="rId16" Type="http://schemas.openxmlformats.org/officeDocument/2006/relationships/hyperlink" Target="https://drive.google.com/file/d/1bJ1oqgC78CGyLlKI_o-x5YqxpRaz_AQC/view?usp=drive_link" TargetMode="External"/><Relationship Id="rId19" Type="http://schemas.openxmlformats.org/officeDocument/2006/relationships/hyperlink" Target="https://drive.google.com/file/d/1lhiIXhUL9jnxNj43N9eiXBlkDbyN-yCP/view?usp=drive_link" TargetMode="External"/><Relationship Id="rId18" Type="http://schemas.openxmlformats.org/officeDocument/2006/relationships/hyperlink" Target="https://drive.google.com/file/d/1gy6P5CzzksxLroxHvhDXWxjhrWGZS5lG/view?usp=drive_lin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IQwPU7XXCBquNnaENoK0BTRCbxYN_E9m/view?usp=sharing" TargetMode="External"/><Relationship Id="rId2" Type="http://schemas.openxmlformats.org/officeDocument/2006/relationships/hyperlink" Target="https://drive.google.com/file/d/1zmZAIx4nkgR5OQ2OeylSGa_GgzIfaC04/view?usp=sharing" TargetMode="External"/><Relationship Id="rId3" Type="http://schemas.openxmlformats.org/officeDocument/2006/relationships/hyperlink" Target="https://drive.google.com/file/d/1eYBEA3tFNHDyEmNbBUMG8VZnxoQK1Lsj/view?usp=sharing" TargetMode="External"/><Relationship Id="rId4" Type="http://schemas.openxmlformats.org/officeDocument/2006/relationships/hyperlink" Target="https://drive.google.com/file/d/1l2f37Dvkby9Ovs_cX8Z1puo-3IbsmSau/view?usp=sharing" TargetMode="External"/><Relationship Id="rId9" Type="http://schemas.openxmlformats.org/officeDocument/2006/relationships/hyperlink" Target="https://drive.google.com/file/d/1cERq_QYOlFQiAFUbPc-EZhsD2rD-mJtz/view?usp=sharing" TargetMode="External"/><Relationship Id="rId5" Type="http://schemas.openxmlformats.org/officeDocument/2006/relationships/hyperlink" Target="https://drive.google.com/file/d/1vrifAcpbPUPFOVisaCjOAkg3i8RxcLLl/view?usp=sharing" TargetMode="External"/><Relationship Id="rId6" Type="http://schemas.openxmlformats.org/officeDocument/2006/relationships/hyperlink" Target="https://drive.google.com/file/d/1LX_nahowH7Q5Av39hwoMUyaJPDcpIfqp/view?usp=sharing" TargetMode="External"/><Relationship Id="rId7" Type="http://schemas.openxmlformats.org/officeDocument/2006/relationships/hyperlink" Target="https://drive.google.com/file/d/1oJjTV1VeKO52XxIc5f4xeOCDSup4Le-4/view?usp=sharing" TargetMode="External"/><Relationship Id="rId8" Type="http://schemas.openxmlformats.org/officeDocument/2006/relationships/hyperlink" Target="https://drive.google.com/file/d/1D79oSaRTgC47tbqYAMQZvrB58kDrFOOX/view?usp=sharing" TargetMode="External"/><Relationship Id="rId10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4" width="17.0"/>
    <col customWidth="1" min="9" max="9" width="23.38"/>
    <col customWidth="1" min="10" max="11" width="22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11</v>
      </c>
      <c r="B2" s="3">
        <v>2028.0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>
        <v>165.0</v>
      </c>
      <c r="I2" s="4" t="s">
        <v>17</v>
      </c>
      <c r="J2" s="4" t="s">
        <v>18</v>
      </c>
      <c r="K2" s="5" t="s">
        <v>19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3" t="s">
        <v>20</v>
      </c>
      <c r="B3" s="3">
        <v>2029.0</v>
      </c>
      <c r="C3" s="3" t="s">
        <v>21</v>
      </c>
      <c r="D3" s="3" t="s">
        <v>22</v>
      </c>
      <c r="E3" s="3" t="s">
        <v>15</v>
      </c>
      <c r="F3" s="3" t="s">
        <v>23</v>
      </c>
      <c r="G3" s="3" t="s">
        <v>16</v>
      </c>
      <c r="H3" s="3">
        <v>165.0</v>
      </c>
      <c r="I3" s="4" t="s">
        <v>24</v>
      </c>
      <c r="J3" s="4" t="s">
        <v>25</v>
      </c>
      <c r="K3" s="5" t="s">
        <v>26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3" t="s">
        <v>27</v>
      </c>
      <c r="B4" s="3">
        <v>2027.0</v>
      </c>
      <c r="C4" s="3" t="s">
        <v>28</v>
      </c>
      <c r="D4" s="3" t="s">
        <v>29</v>
      </c>
      <c r="E4" s="3" t="s">
        <v>15</v>
      </c>
      <c r="F4" s="3" t="s">
        <v>30</v>
      </c>
      <c r="G4" s="3" t="s">
        <v>31</v>
      </c>
      <c r="H4" s="3">
        <v>150.0</v>
      </c>
      <c r="I4" s="4" t="s">
        <v>32</v>
      </c>
      <c r="J4" s="4" t="s">
        <v>33</v>
      </c>
      <c r="K4" s="5" t="s">
        <v>34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3" t="s">
        <v>35</v>
      </c>
      <c r="B5" s="3">
        <v>2027.0</v>
      </c>
      <c r="C5" s="3" t="s">
        <v>36</v>
      </c>
      <c r="D5" s="3" t="s">
        <v>37</v>
      </c>
      <c r="E5" s="3" t="s">
        <v>15</v>
      </c>
      <c r="F5" s="3" t="s">
        <v>13</v>
      </c>
      <c r="G5" s="3" t="s">
        <v>38</v>
      </c>
      <c r="H5" s="3">
        <v>190.0</v>
      </c>
      <c r="I5" s="4" t="s">
        <v>39</v>
      </c>
      <c r="J5" s="4" t="s">
        <v>40</v>
      </c>
      <c r="K5" s="5" t="s">
        <v>41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3" t="s">
        <v>42</v>
      </c>
      <c r="B6" s="3">
        <v>2028.0</v>
      </c>
      <c r="C6" s="3" t="s">
        <v>43</v>
      </c>
      <c r="D6" s="3" t="s">
        <v>44</v>
      </c>
      <c r="E6" s="3" t="s">
        <v>15</v>
      </c>
      <c r="F6" s="3" t="s">
        <v>45</v>
      </c>
      <c r="G6" s="3" t="s">
        <v>38</v>
      </c>
      <c r="H6" s="3">
        <v>170.0</v>
      </c>
      <c r="I6" s="5" t="s">
        <v>46</v>
      </c>
      <c r="J6" s="6"/>
      <c r="K6" s="5" t="s">
        <v>47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3" t="s">
        <v>48</v>
      </c>
      <c r="B7" s="3">
        <v>2026.0</v>
      </c>
      <c r="C7" s="3" t="s">
        <v>49</v>
      </c>
      <c r="D7" s="3" t="s">
        <v>50</v>
      </c>
      <c r="E7" s="3" t="s">
        <v>15</v>
      </c>
      <c r="F7" s="3" t="s">
        <v>51</v>
      </c>
      <c r="G7" s="3" t="s">
        <v>38</v>
      </c>
      <c r="H7" s="3">
        <v>195.0</v>
      </c>
      <c r="I7" s="4" t="s">
        <v>52</v>
      </c>
      <c r="J7" s="5" t="s">
        <v>53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3" t="s">
        <v>54</v>
      </c>
      <c r="B8" s="3">
        <v>2026.0</v>
      </c>
      <c r="C8" s="3" t="s">
        <v>55</v>
      </c>
      <c r="D8" s="3" t="s">
        <v>56</v>
      </c>
      <c r="E8" s="3" t="s">
        <v>15</v>
      </c>
      <c r="F8" s="3" t="s">
        <v>57</v>
      </c>
      <c r="G8" s="3" t="s">
        <v>31</v>
      </c>
      <c r="H8" s="3">
        <v>167.0</v>
      </c>
      <c r="I8" s="4" t="s">
        <v>58</v>
      </c>
      <c r="J8" s="4" t="s">
        <v>59</v>
      </c>
      <c r="K8" s="5" t="s">
        <v>60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3" t="s">
        <v>61</v>
      </c>
      <c r="B9" s="3">
        <v>2028.0</v>
      </c>
      <c r="C9" s="3" t="s">
        <v>62</v>
      </c>
      <c r="D9" s="3" t="s">
        <v>13</v>
      </c>
      <c r="E9" s="3" t="s">
        <v>15</v>
      </c>
      <c r="F9" s="3" t="s">
        <v>63</v>
      </c>
      <c r="G9" s="3" t="s">
        <v>64</v>
      </c>
      <c r="H9" s="3">
        <v>180.0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3" t="s">
        <v>65</v>
      </c>
      <c r="B10" s="3">
        <v>2027.0</v>
      </c>
      <c r="C10" s="3" t="s">
        <v>55</v>
      </c>
      <c r="D10" s="3" t="s">
        <v>37</v>
      </c>
      <c r="E10" s="3" t="s">
        <v>66</v>
      </c>
      <c r="F10" s="3" t="s">
        <v>63</v>
      </c>
      <c r="G10" s="3" t="s">
        <v>67</v>
      </c>
      <c r="H10" s="3">
        <v>210.0</v>
      </c>
      <c r="I10" s="5" t="s">
        <v>68</v>
      </c>
      <c r="J10" s="6"/>
      <c r="K10" s="5" t="s">
        <v>69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3" t="s">
        <v>70</v>
      </c>
      <c r="B11" s="3">
        <v>2027.0</v>
      </c>
      <c r="C11" s="3" t="s">
        <v>71</v>
      </c>
      <c r="D11" s="3" t="s">
        <v>72</v>
      </c>
      <c r="E11" s="3" t="s">
        <v>73</v>
      </c>
      <c r="F11" s="3" t="s">
        <v>13</v>
      </c>
      <c r="G11" s="3" t="s">
        <v>38</v>
      </c>
      <c r="H11" s="3">
        <v>175.0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3" t="s">
        <v>74</v>
      </c>
      <c r="B12" s="3">
        <v>2025.0</v>
      </c>
      <c r="C12" s="3" t="s">
        <v>75</v>
      </c>
      <c r="D12" s="3" t="s">
        <v>76</v>
      </c>
      <c r="E12" s="3" t="s">
        <v>66</v>
      </c>
      <c r="F12" s="3" t="s">
        <v>13</v>
      </c>
      <c r="G12" s="3" t="s">
        <v>77</v>
      </c>
      <c r="H12" s="3">
        <v>205.0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3" t="s">
        <v>78</v>
      </c>
      <c r="B13" s="3">
        <v>2026.0</v>
      </c>
      <c r="C13" s="3" t="s">
        <v>75</v>
      </c>
      <c r="D13" s="3" t="s">
        <v>79</v>
      </c>
      <c r="E13" s="3" t="s">
        <v>15</v>
      </c>
      <c r="F13" s="3" t="s">
        <v>80</v>
      </c>
      <c r="G13" s="3" t="s">
        <v>64</v>
      </c>
      <c r="H13" s="3">
        <v>170.0</v>
      </c>
      <c r="I13" s="4" t="s">
        <v>81</v>
      </c>
      <c r="J13" s="4" t="s">
        <v>82</v>
      </c>
      <c r="K13" s="5" t="s">
        <v>83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3" t="s">
        <v>84</v>
      </c>
      <c r="B14" s="3">
        <v>2027.0</v>
      </c>
      <c r="C14" s="3" t="s">
        <v>21</v>
      </c>
      <c r="D14" s="3" t="s">
        <v>37</v>
      </c>
      <c r="E14" s="3" t="s">
        <v>15</v>
      </c>
      <c r="F14" s="3" t="s">
        <v>13</v>
      </c>
      <c r="G14" s="3" t="s">
        <v>85</v>
      </c>
      <c r="H14" s="3">
        <v>235.0</v>
      </c>
      <c r="I14" s="4" t="s">
        <v>86</v>
      </c>
      <c r="J14" s="4" t="s">
        <v>87</v>
      </c>
      <c r="K14" s="5" t="s">
        <v>88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3" t="s">
        <v>89</v>
      </c>
      <c r="B15" s="3">
        <v>2026.0</v>
      </c>
      <c r="C15" s="3" t="s">
        <v>90</v>
      </c>
      <c r="D15" s="3" t="s">
        <v>13</v>
      </c>
      <c r="E15" s="3" t="s">
        <v>15</v>
      </c>
      <c r="F15" s="3" t="s">
        <v>14</v>
      </c>
      <c r="G15" s="3" t="s">
        <v>91</v>
      </c>
      <c r="H15" s="3">
        <v>195.0</v>
      </c>
      <c r="I15" s="4" t="s">
        <v>92</v>
      </c>
      <c r="J15" s="4" t="s">
        <v>93</v>
      </c>
      <c r="K15" s="5" t="s">
        <v>94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3" t="s">
        <v>95</v>
      </c>
      <c r="B16" s="3">
        <v>2029.0</v>
      </c>
      <c r="C16" s="3" t="s">
        <v>96</v>
      </c>
      <c r="D16" s="3" t="s">
        <v>97</v>
      </c>
      <c r="E16" s="3" t="s">
        <v>15</v>
      </c>
      <c r="F16" s="3" t="s">
        <v>98</v>
      </c>
      <c r="G16" s="3" t="s">
        <v>64</v>
      </c>
      <c r="H16" s="3">
        <v>185.0</v>
      </c>
      <c r="I16" s="4" t="s">
        <v>99</v>
      </c>
      <c r="J16" s="4" t="s">
        <v>100</v>
      </c>
      <c r="K16" s="5" t="s">
        <v>101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3" t="s">
        <v>102</v>
      </c>
      <c r="B17" s="3">
        <v>2029.0</v>
      </c>
      <c r="C17" s="3" t="s">
        <v>36</v>
      </c>
      <c r="D17" s="3" t="s">
        <v>72</v>
      </c>
      <c r="E17" s="3" t="s">
        <v>66</v>
      </c>
      <c r="F17" s="3" t="s">
        <v>13</v>
      </c>
      <c r="G17" s="3" t="s">
        <v>38</v>
      </c>
      <c r="H17" s="3">
        <v>150.0</v>
      </c>
      <c r="I17" s="4" t="s">
        <v>103</v>
      </c>
      <c r="J17" s="5" t="s">
        <v>82</v>
      </c>
      <c r="K17" s="5" t="s">
        <v>104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7" t="s">
        <v>105</v>
      </c>
      <c r="B18" s="7">
        <v>2030.0</v>
      </c>
      <c r="C18" s="7" t="s">
        <v>106</v>
      </c>
      <c r="D18" s="7" t="s">
        <v>107</v>
      </c>
      <c r="E18" s="7" t="s">
        <v>15</v>
      </c>
      <c r="F18" s="7" t="s">
        <v>108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7" t="s">
        <v>109</v>
      </c>
      <c r="B19" s="7">
        <v>2029.0</v>
      </c>
      <c r="C19" s="7" t="s">
        <v>21</v>
      </c>
      <c r="D19" s="7" t="s">
        <v>37</v>
      </c>
      <c r="E19" s="7" t="s">
        <v>15</v>
      </c>
      <c r="F19" s="7" t="s">
        <v>110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7" t="s">
        <v>111</v>
      </c>
      <c r="B20" s="7">
        <v>2028.0</v>
      </c>
      <c r="C20" s="7" t="s">
        <v>21</v>
      </c>
      <c r="D20" s="7" t="s">
        <v>112</v>
      </c>
      <c r="E20" s="7" t="s">
        <v>66</v>
      </c>
      <c r="F20" s="7" t="s">
        <v>73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7" t="s">
        <v>113</v>
      </c>
      <c r="B21" s="7">
        <v>2028.0</v>
      </c>
      <c r="C21" s="7" t="s">
        <v>106</v>
      </c>
      <c r="D21" s="7" t="s">
        <v>114</v>
      </c>
      <c r="E21" s="7" t="s">
        <v>15</v>
      </c>
      <c r="F21" s="7" t="s">
        <v>13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3" t="s">
        <v>115</v>
      </c>
      <c r="B22" s="3">
        <v>2027.0</v>
      </c>
      <c r="C22" s="3" t="s">
        <v>116</v>
      </c>
      <c r="D22" s="3" t="s">
        <v>117</v>
      </c>
      <c r="E22" s="3" t="s">
        <v>15</v>
      </c>
      <c r="F22" s="3" t="s">
        <v>13</v>
      </c>
      <c r="G22" s="3" t="s">
        <v>118</v>
      </c>
      <c r="H22" s="3">
        <v>156.0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</sheetData>
  <hyperlinks>
    <hyperlink r:id="rId1" ref="I2"/>
    <hyperlink r:id="rId2" ref="J2"/>
    <hyperlink r:id="rId3" ref="K2"/>
    <hyperlink r:id="rId4" ref="I3"/>
    <hyperlink r:id="rId5" ref="J3"/>
    <hyperlink r:id="rId6" ref="K3"/>
    <hyperlink r:id="rId7" ref="I4"/>
    <hyperlink r:id="rId8" ref="J4"/>
    <hyperlink r:id="rId9" ref="K4"/>
    <hyperlink r:id="rId10" ref="I5"/>
    <hyperlink r:id="rId11" ref="J5"/>
    <hyperlink r:id="rId12" ref="K5"/>
    <hyperlink r:id="rId13" ref="I6"/>
    <hyperlink r:id="rId14" ref="K6"/>
    <hyperlink r:id="rId15" ref="I7"/>
    <hyperlink r:id="rId16" ref="J7"/>
    <hyperlink r:id="rId17" ref="I8"/>
    <hyperlink r:id="rId18" ref="J8"/>
    <hyperlink r:id="rId19" ref="K8"/>
    <hyperlink r:id="rId20" ref="I10"/>
    <hyperlink r:id="rId21" ref="K10"/>
    <hyperlink r:id="rId22" ref="I13"/>
    <hyperlink r:id="rId23" ref="J13"/>
    <hyperlink r:id="rId24" ref="K13"/>
    <hyperlink r:id="rId25" ref="I14"/>
    <hyperlink r:id="rId26" ref="J14"/>
    <hyperlink r:id="rId27" ref="K14"/>
    <hyperlink r:id="rId28" ref="I15"/>
    <hyperlink r:id="rId29" ref="J15"/>
    <hyperlink r:id="rId30" ref="K15"/>
    <hyperlink r:id="rId31" ref="I16"/>
    <hyperlink r:id="rId32" ref="J16"/>
    <hyperlink r:id="rId33" ref="K16"/>
    <hyperlink r:id="rId34" ref="I17"/>
    <hyperlink r:id="rId35" ref="J17"/>
    <hyperlink r:id="rId36" ref="K17"/>
  </hyperlinks>
  <drawing r:id="rId3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7" max="7" width="17.13"/>
    <col customWidth="1" min="8" max="8" width="20.38"/>
  </cols>
  <sheetData>
    <row r="1">
      <c r="A1" s="8" t="s">
        <v>119</v>
      </c>
      <c r="B1" s="8" t="s">
        <v>120</v>
      </c>
      <c r="C1" s="8" t="s">
        <v>121</v>
      </c>
      <c r="D1" s="8" t="s">
        <v>122</v>
      </c>
      <c r="E1" s="9" t="s">
        <v>123</v>
      </c>
      <c r="F1" s="8" t="s">
        <v>124</v>
      </c>
      <c r="G1" s="8" t="s">
        <v>125</v>
      </c>
      <c r="H1" s="8" t="s">
        <v>126</v>
      </c>
      <c r="I1" s="8" t="s">
        <v>127</v>
      </c>
      <c r="J1" s="9" t="s">
        <v>128</v>
      </c>
      <c r="K1" s="9" t="s">
        <v>129</v>
      </c>
      <c r="L1" s="10" t="s">
        <v>130</v>
      </c>
      <c r="M1" s="10" t="s">
        <v>131</v>
      </c>
      <c r="N1" s="10" t="s">
        <v>132</v>
      </c>
      <c r="O1" s="10" t="s">
        <v>133</v>
      </c>
      <c r="P1" s="10" t="s">
        <v>134</v>
      </c>
      <c r="Q1" s="11"/>
      <c r="R1" s="11"/>
      <c r="S1" s="11"/>
      <c r="T1" s="11"/>
      <c r="U1" s="11"/>
    </row>
    <row r="2">
      <c r="A2" s="3" t="str">
        <f>Bio!A2</f>
        <v>Matthew Heredia</v>
      </c>
      <c r="B2" s="3" t="s">
        <v>135</v>
      </c>
      <c r="C2" s="3" t="s">
        <v>136</v>
      </c>
      <c r="D2" s="3" t="s">
        <v>137</v>
      </c>
      <c r="E2" s="3" t="s">
        <v>138</v>
      </c>
      <c r="F2" s="3" t="s">
        <v>139</v>
      </c>
      <c r="G2" s="3" t="s">
        <v>140</v>
      </c>
      <c r="H2" s="3" t="s">
        <v>137</v>
      </c>
      <c r="I2" s="3" t="s">
        <v>13</v>
      </c>
      <c r="J2" s="3" t="s">
        <v>141</v>
      </c>
      <c r="K2" s="3" t="s">
        <v>142</v>
      </c>
      <c r="L2" s="3" t="s">
        <v>143</v>
      </c>
      <c r="M2" s="3" t="s">
        <v>144</v>
      </c>
      <c r="N2" s="3" t="s">
        <v>13</v>
      </c>
      <c r="O2" s="3" t="s">
        <v>13</v>
      </c>
      <c r="P2" s="3" t="s">
        <v>145</v>
      </c>
      <c r="Q2" s="6"/>
      <c r="R2" s="6"/>
      <c r="S2" s="6"/>
      <c r="T2" s="6"/>
      <c r="U2" s="6"/>
    </row>
    <row r="3">
      <c r="A3" s="6" t="str">
        <f>Bio!A3</f>
        <v>Jason Drew</v>
      </c>
      <c r="B3" s="3" t="s">
        <v>146</v>
      </c>
      <c r="C3" s="3" t="s">
        <v>136</v>
      </c>
      <c r="D3" s="3" t="s">
        <v>137</v>
      </c>
      <c r="E3" s="3" t="s">
        <v>147</v>
      </c>
      <c r="F3" s="3" t="s">
        <v>139</v>
      </c>
      <c r="G3" s="3" t="s">
        <v>148</v>
      </c>
      <c r="H3" s="3" t="s">
        <v>149</v>
      </c>
      <c r="I3" s="3" t="s">
        <v>13</v>
      </c>
      <c r="J3" s="3" t="s">
        <v>150</v>
      </c>
      <c r="K3" s="3" t="s">
        <v>151</v>
      </c>
      <c r="L3" s="3" t="s">
        <v>152</v>
      </c>
      <c r="M3" s="3" t="s">
        <v>145</v>
      </c>
      <c r="N3" s="3" t="s">
        <v>13</v>
      </c>
      <c r="O3" s="3" t="s">
        <v>13</v>
      </c>
      <c r="P3" s="3" t="s">
        <v>153</v>
      </c>
      <c r="Q3" s="6"/>
      <c r="R3" s="6"/>
      <c r="S3" s="6"/>
      <c r="T3" s="6"/>
      <c r="U3" s="6"/>
    </row>
    <row r="4">
      <c r="A4" s="6" t="str">
        <f>Bio!A4</f>
        <v>Josh Jacob</v>
      </c>
      <c r="B4" s="3" t="s">
        <v>146</v>
      </c>
      <c r="C4" s="3" t="s">
        <v>136</v>
      </c>
      <c r="D4" s="3" t="s">
        <v>149</v>
      </c>
      <c r="E4" s="3" t="s">
        <v>147</v>
      </c>
      <c r="F4" s="3" t="s">
        <v>154</v>
      </c>
      <c r="G4" s="3" t="s">
        <v>140</v>
      </c>
      <c r="H4" s="3" t="s">
        <v>137</v>
      </c>
      <c r="I4" s="3" t="s">
        <v>13</v>
      </c>
      <c r="J4" s="3" t="s">
        <v>150</v>
      </c>
      <c r="K4" s="3" t="s">
        <v>151</v>
      </c>
      <c r="L4" s="3" t="s">
        <v>152</v>
      </c>
      <c r="M4" s="3" t="s">
        <v>155</v>
      </c>
      <c r="N4" s="3" t="s">
        <v>145</v>
      </c>
      <c r="O4" s="3" t="s">
        <v>153</v>
      </c>
      <c r="P4" s="3" t="s">
        <v>144</v>
      </c>
      <c r="Q4" s="6"/>
      <c r="R4" s="6"/>
      <c r="S4" s="6"/>
      <c r="T4" s="6"/>
      <c r="U4" s="6"/>
    </row>
    <row r="5">
      <c r="A5" s="6" t="str">
        <f>Bio!A5</f>
        <v>Collin Vaughan</v>
      </c>
      <c r="B5" s="3" t="s">
        <v>146</v>
      </c>
      <c r="C5" s="3" t="s">
        <v>136</v>
      </c>
      <c r="D5" s="3" t="s">
        <v>149</v>
      </c>
      <c r="E5" s="3" t="s">
        <v>147</v>
      </c>
      <c r="F5" s="3" t="s">
        <v>139</v>
      </c>
      <c r="G5" s="3" t="s">
        <v>140</v>
      </c>
      <c r="H5" s="3" t="s">
        <v>137</v>
      </c>
      <c r="I5" s="3" t="s">
        <v>13</v>
      </c>
      <c r="J5" s="3" t="s">
        <v>150</v>
      </c>
      <c r="K5" s="3" t="s">
        <v>151</v>
      </c>
      <c r="L5" s="3" t="s">
        <v>152</v>
      </c>
      <c r="M5" s="3" t="s">
        <v>155</v>
      </c>
      <c r="N5" s="3" t="s">
        <v>153</v>
      </c>
      <c r="O5" s="3" t="s">
        <v>145</v>
      </c>
      <c r="P5" s="3" t="s">
        <v>144</v>
      </c>
      <c r="Q5" s="6"/>
      <c r="R5" s="6"/>
      <c r="S5" s="6"/>
      <c r="T5" s="6"/>
      <c r="U5" s="6"/>
    </row>
    <row r="6">
      <c r="A6" s="6" t="str">
        <f>Bio!A6</f>
        <v>Harrison Coneway</v>
      </c>
      <c r="B6" s="3" t="s">
        <v>135</v>
      </c>
      <c r="C6" s="3" t="s">
        <v>156</v>
      </c>
      <c r="D6" s="3" t="s">
        <v>137</v>
      </c>
      <c r="E6" s="3" t="s">
        <v>138</v>
      </c>
      <c r="F6" s="3" t="s">
        <v>139</v>
      </c>
      <c r="G6" s="3" t="s">
        <v>148</v>
      </c>
      <c r="H6" s="3" t="s">
        <v>137</v>
      </c>
      <c r="I6" s="3" t="s">
        <v>137</v>
      </c>
      <c r="J6" s="3" t="s">
        <v>150</v>
      </c>
      <c r="K6" s="3" t="s">
        <v>151</v>
      </c>
      <c r="L6" s="3" t="s">
        <v>152</v>
      </c>
      <c r="M6" s="3" t="s">
        <v>144</v>
      </c>
      <c r="N6" s="3" t="s">
        <v>153</v>
      </c>
      <c r="O6" s="3" t="s">
        <v>155</v>
      </c>
      <c r="P6" s="3" t="s">
        <v>145</v>
      </c>
      <c r="Q6" s="6"/>
      <c r="R6" s="6"/>
      <c r="S6" s="6"/>
      <c r="T6" s="6"/>
      <c r="U6" s="6"/>
    </row>
    <row r="7">
      <c r="A7" s="6" t="str">
        <f>Bio!A7</f>
        <v>Vince Long</v>
      </c>
      <c r="B7" s="3" t="s">
        <v>146</v>
      </c>
      <c r="C7" s="3" t="s">
        <v>136</v>
      </c>
      <c r="D7" s="3" t="s">
        <v>137</v>
      </c>
      <c r="E7" s="3" t="s">
        <v>147</v>
      </c>
      <c r="F7" s="3" t="s">
        <v>154</v>
      </c>
      <c r="G7" s="3" t="s">
        <v>148</v>
      </c>
      <c r="H7" s="3" t="s">
        <v>137</v>
      </c>
      <c r="I7" s="3" t="s">
        <v>137</v>
      </c>
      <c r="J7" s="3" t="s">
        <v>150</v>
      </c>
      <c r="K7" s="3" t="s">
        <v>151</v>
      </c>
      <c r="L7" s="3" t="s">
        <v>152</v>
      </c>
      <c r="M7" s="3" t="s">
        <v>145</v>
      </c>
      <c r="N7" s="3" t="s">
        <v>13</v>
      </c>
      <c r="O7" s="3" t="s">
        <v>13</v>
      </c>
      <c r="P7" s="3" t="s">
        <v>153</v>
      </c>
      <c r="Q7" s="6"/>
      <c r="R7" s="6"/>
      <c r="S7" s="6"/>
      <c r="T7" s="6"/>
      <c r="U7" s="6"/>
    </row>
    <row r="8">
      <c r="A8" s="6" t="str">
        <f>Bio!A8</f>
        <v>Noah Satine</v>
      </c>
      <c r="B8" s="3" t="s">
        <v>135</v>
      </c>
      <c r="C8" s="3" t="s">
        <v>136</v>
      </c>
      <c r="D8" s="3" t="s">
        <v>149</v>
      </c>
      <c r="E8" s="3" t="s">
        <v>138</v>
      </c>
      <c r="F8" s="3" t="s">
        <v>139</v>
      </c>
      <c r="G8" s="3" t="s">
        <v>148</v>
      </c>
      <c r="H8" s="3" t="s">
        <v>149</v>
      </c>
      <c r="I8" s="3" t="s">
        <v>137</v>
      </c>
      <c r="J8" s="3" t="s">
        <v>141</v>
      </c>
      <c r="K8" s="3" t="s">
        <v>142</v>
      </c>
      <c r="L8" s="3" t="s">
        <v>143</v>
      </c>
      <c r="M8" s="3" t="s">
        <v>153</v>
      </c>
      <c r="N8" s="3" t="s">
        <v>13</v>
      </c>
      <c r="O8" s="3" t="s">
        <v>13</v>
      </c>
      <c r="P8" s="3" t="s">
        <v>155</v>
      </c>
      <c r="Q8" s="6"/>
      <c r="R8" s="6"/>
      <c r="S8" s="6"/>
      <c r="T8" s="6"/>
      <c r="U8" s="6"/>
    </row>
    <row r="9">
      <c r="A9" s="6" t="str">
        <f>Bio!A9</f>
        <v>Ford Stratton</v>
      </c>
      <c r="B9" s="3" t="s">
        <v>135</v>
      </c>
      <c r="C9" s="3" t="s">
        <v>136</v>
      </c>
      <c r="D9" s="3" t="s">
        <v>149</v>
      </c>
      <c r="E9" s="3" t="s">
        <v>138</v>
      </c>
      <c r="F9" s="3" t="s">
        <v>139</v>
      </c>
      <c r="G9" s="3" t="s">
        <v>148</v>
      </c>
      <c r="H9" s="3" t="s">
        <v>137</v>
      </c>
      <c r="I9" s="3" t="s">
        <v>149</v>
      </c>
      <c r="J9" s="3" t="s">
        <v>141</v>
      </c>
      <c r="K9" s="3" t="s">
        <v>142</v>
      </c>
      <c r="L9" s="3" t="s">
        <v>143</v>
      </c>
      <c r="M9" s="3" t="s">
        <v>153</v>
      </c>
      <c r="N9" s="3" t="s">
        <v>13</v>
      </c>
      <c r="O9" s="3" t="s">
        <v>13</v>
      </c>
      <c r="P9" s="3" t="s">
        <v>155</v>
      </c>
      <c r="Q9" s="6"/>
      <c r="R9" s="6"/>
      <c r="S9" s="6"/>
      <c r="T9" s="6"/>
      <c r="U9" s="6"/>
    </row>
    <row r="10">
      <c r="A10" s="6" t="str">
        <f>Bio!A10</f>
        <v>Jack Snakenberg</v>
      </c>
      <c r="B10" s="3" t="s">
        <v>146</v>
      </c>
      <c r="C10" s="3" t="s">
        <v>136</v>
      </c>
      <c r="D10" s="3" t="s">
        <v>149</v>
      </c>
      <c r="E10" s="3" t="s">
        <v>147</v>
      </c>
      <c r="F10" s="3" t="s">
        <v>154</v>
      </c>
      <c r="G10" s="3" t="s">
        <v>148</v>
      </c>
      <c r="H10" s="3" t="s">
        <v>149</v>
      </c>
      <c r="I10" s="3" t="s">
        <v>149</v>
      </c>
      <c r="J10" s="3" t="s">
        <v>150</v>
      </c>
      <c r="K10" s="3" t="s">
        <v>151</v>
      </c>
      <c r="L10" s="3" t="s">
        <v>152</v>
      </c>
      <c r="M10" s="3" t="s">
        <v>155</v>
      </c>
      <c r="N10" s="3" t="s">
        <v>145</v>
      </c>
      <c r="O10" s="3" t="s">
        <v>153</v>
      </c>
      <c r="P10" s="3" t="s">
        <v>144</v>
      </c>
      <c r="Q10" s="6"/>
      <c r="R10" s="6"/>
      <c r="S10" s="6"/>
      <c r="T10" s="6"/>
      <c r="U10" s="6"/>
    </row>
    <row r="11">
      <c r="A11" s="6" t="str">
        <f>Bio!A11</f>
        <v>Koji Paul (Hitter)</v>
      </c>
      <c r="B11" s="3" t="s">
        <v>146</v>
      </c>
      <c r="C11" s="3" t="s">
        <v>136</v>
      </c>
      <c r="D11" s="3" t="s">
        <v>137</v>
      </c>
      <c r="E11" s="3" t="s">
        <v>147</v>
      </c>
      <c r="F11" s="3" t="s">
        <v>154</v>
      </c>
      <c r="G11" s="3" t="s">
        <v>148</v>
      </c>
      <c r="H11" s="3" t="s">
        <v>137</v>
      </c>
      <c r="I11" s="3" t="s">
        <v>149</v>
      </c>
      <c r="J11" s="3" t="s">
        <v>150</v>
      </c>
      <c r="K11" s="3" t="s">
        <v>151</v>
      </c>
      <c r="L11" s="3" t="s">
        <v>152</v>
      </c>
      <c r="M11" s="3" t="s">
        <v>145</v>
      </c>
      <c r="N11" s="3" t="s">
        <v>13</v>
      </c>
      <c r="O11" s="3" t="s">
        <v>13</v>
      </c>
      <c r="P11" s="3" t="s">
        <v>153</v>
      </c>
      <c r="Q11" s="6"/>
      <c r="R11" s="6"/>
      <c r="S11" s="6"/>
      <c r="T11" s="6"/>
      <c r="U11" s="6"/>
    </row>
    <row r="12">
      <c r="A12" s="6" t="str">
        <f>Bio!A12</f>
        <v>Preston Steeno</v>
      </c>
      <c r="B12" s="3" t="s">
        <v>146</v>
      </c>
      <c r="C12" s="3" t="s">
        <v>136</v>
      </c>
      <c r="D12" s="3" t="s">
        <v>137</v>
      </c>
      <c r="E12" s="3" t="s">
        <v>147</v>
      </c>
      <c r="F12" s="3" t="s">
        <v>154</v>
      </c>
      <c r="G12" s="3" t="s">
        <v>140</v>
      </c>
      <c r="H12" s="3" t="s">
        <v>157</v>
      </c>
      <c r="I12" s="3" t="s">
        <v>137</v>
      </c>
      <c r="J12" s="3" t="s">
        <v>150</v>
      </c>
      <c r="K12" s="6"/>
      <c r="L12" s="6"/>
      <c r="M12" s="3" t="s">
        <v>145</v>
      </c>
      <c r="N12" s="3" t="s">
        <v>155</v>
      </c>
      <c r="O12" s="3" t="s">
        <v>13</v>
      </c>
      <c r="P12" s="3" t="s">
        <v>13</v>
      </c>
      <c r="Q12" s="6"/>
      <c r="R12" s="6"/>
      <c r="S12" s="6"/>
      <c r="T12" s="6"/>
      <c r="U12" s="6"/>
    </row>
    <row r="13">
      <c r="A13" s="6" t="str">
        <f>Bio!A13</f>
        <v>Andy Torres</v>
      </c>
      <c r="B13" s="3" t="s">
        <v>135</v>
      </c>
      <c r="C13" s="3" t="s">
        <v>136</v>
      </c>
      <c r="D13" s="3" t="s">
        <v>137</v>
      </c>
      <c r="E13" s="3" t="s">
        <v>138</v>
      </c>
      <c r="F13" s="3" t="s">
        <v>158</v>
      </c>
      <c r="G13" s="3" t="s">
        <v>159</v>
      </c>
      <c r="H13" s="3" t="s">
        <v>149</v>
      </c>
      <c r="I13" s="3" t="s">
        <v>149</v>
      </c>
      <c r="J13" s="3" t="s">
        <v>141</v>
      </c>
      <c r="K13" s="3" t="s">
        <v>142</v>
      </c>
      <c r="L13" s="3" t="s">
        <v>143</v>
      </c>
      <c r="M13" s="3" t="s">
        <v>144</v>
      </c>
      <c r="N13" s="3" t="s">
        <v>155</v>
      </c>
      <c r="O13" s="3" t="s">
        <v>153</v>
      </c>
      <c r="P13" s="3" t="s">
        <v>145</v>
      </c>
      <c r="Q13" s="6"/>
      <c r="R13" s="6"/>
      <c r="S13" s="6"/>
      <c r="T13" s="6"/>
      <c r="U13" s="6"/>
    </row>
    <row r="14">
      <c r="A14" s="6" t="str">
        <f>Bio!A14</f>
        <v>Mason Duncan</v>
      </c>
      <c r="B14" s="3" t="s">
        <v>146</v>
      </c>
      <c r="C14" s="3" t="s">
        <v>136</v>
      </c>
      <c r="D14" s="3" t="s">
        <v>137</v>
      </c>
      <c r="E14" s="3" t="s">
        <v>138</v>
      </c>
      <c r="F14" s="3" t="s">
        <v>139</v>
      </c>
      <c r="G14" s="3" t="s">
        <v>140</v>
      </c>
      <c r="H14" s="3" t="s">
        <v>149</v>
      </c>
      <c r="I14" s="3" t="s">
        <v>137</v>
      </c>
      <c r="J14" s="3" t="s">
        <v>150</v>
      </c>
      <c r="K14" s="3" t="s">
        <v>151</v>
      </c>
      <c r="L14" s="3" t="s">
        <v>152</v>
      </c>
      <c r="M14" s="6"/>
      <c r="N14" s="6"/>
      <c r="O14" s="6"/>
      <c r="P14" s="6"/>
      <c r="Q14" s="6"/>
      <c r="R14" s="6"/>
      <c r="S14" s="6"/>
      <c r="T14" s="6"/>
      <c r="U14" s="6"/>
    </row>
    <row r="15">
      <c r="A15" s="6" t="str">
        <f>Bio!A15</f>
        <v>Donnie Hooten</v>
      </c>
      <c r="B15" s="3" t="s">
        <v>135</v>
      </c>
      <c r="C15" s="3" t="s">
        <v>156</v>
      </c>
      <c r="D15" s="3" t="s">
        <v>149</v>
      </c>
      <c r="E15" s="3" t="s">
        <v>138</v>
      </c>
      <c r="F15" s="3" t="s">
        <v>139</v>
      </c>
      <c r="G15" s="3" t="s">
        <v>148</v>
      </c>
      <c r="H15" s="3" t="s">
        <v>149</v>
      </c>
      <c r="I15" s="3" t="s">
        <v>137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</row>
    <row r="16">
      <c r="A16" s="6" t="str">
        <f>Bio!A16</f>
        <v>Lucas Arnold</v>
      </c>
      <c r="B16" s="3" t="s">
        <v>146</v>
      </c>
      <c r="C16" s="3" t="s">
        <v>136</v>
      </c>
      <c r="D16" s="3" t="s">
        <v>149</v>
      </c>
      <c r="E16" s="3" t="s">
        <v>147</v>
      </c>
      <c r="F16" s="3" t="s">
        <v>139</v>
      </c>
      <c r="G16" s="3" t="s">
        <v>148</v>
      </c>
      <c r="H16" s="3" t="s">
        <v>149</v>
      </c>
      <c r="I16" s="3" t="s">
        <v>137</v>
      </c>
      <c r="J16" s="3" t="s">
        <v>141</v>
      </c>
      <c r="K16" s="3" t="s">
        <v>142</v>
      </c>
      <c r="L16" s="3" t="s">
        <v>143</v>
      </c>
      <c r="M16" s="3" t="s">
        <v>153</v>
      </c>
      <c r="N16" s="3" t="s">
        <v>144</v>
      </c>
      <c r="O16" s="3" t="s">
        <v>145</v>
      </c>
      <c r="P16" s="3" t="s">
        <v>155</v>
      </c>
      <c r="Q16" s="6"/>
      <c r="R16" s="6"/>
      <c r="S16" s="6"/>
      <c r="T16" s="6"/>
      <c r="U16" s="6"/>
    </row>
    <row r="17">
      <c r="A17" s="6" t="str">
        <f>Bio!A17</f>
        <v>Blake Lyle</v>
      </c>
      <c r="B17" s="3" t="s">
        <v>135</v>
      </c>
      <c r="C17" s="3" t="s">
        <v>136</v>
      </c>
      <c r="D17" s="3" t="s">
        <v>149</v>
      </c>
      <c r="E17" s="3" t="s">
        <v>138</v>
      </c>
      <c r="F17" s="3" t="s">
        <v>139</v>
      </c>
      <c r="G17" s="3" t="s">
        <v>148</v>
      </c>
      <c r="H17" s="3" t="s">
        <v>149</v>
      </c>
      <c r="I17" s="3" t="s">
        <v>13</v>
      </c>
      <c r="J17" s="3" t="s">
        <v>141</v>
      </c>
      <c r="K17" s="3" t="s">
        <v>142</v>
      </c>
      <c r="L17" s="3" t="s">
        <v>143</v>
      </c>
      <c r="M17" s="3" t="s">
        <v>153</v>
      </c>
      <c r="N17" s="3" t="s">
        <v>13</v>
      </c>
      <c r="O17" s="3" t="s">
        <v>13</v>
      </c>
      <c r="P17" s="3" t="s">
        <v>155</v>
      </c>
      <c r="Q17" s="6"/>
      <c r="R17" s="6"/>
      <c r="S17" s="6"/>
      <c r="T17" s="6"/>
      <c r="U17" s="6"/>
    </row>
    <row r="18">
      <c r="A18" s="6" t="str">
        <f>Bio!A18</f>
        <v>Caleb Hunter</v>
      </c>
      <c r="B18" s="7" t="s">
        <v>135</v>
      </c>
      <c r="C18" s="7" t="s">
        <v>13</v>
      </c>
      <c r="D18" s="7" t="s">
        <v>149</v>
      </c>
      <c r="E18" s="7" t="s">
        <v>13</v>
      </c>
      <c r="F18" s="7" t="s">
        <v>139</v>
      </c>
      <c r="G18" s="7" t="s">
        <v>13</v>
      </c>
      <c r="H18" s="7" t="s">
        <v>13</v>
      </c>
      <c r="I18" s="7" t="s">
        <v>13</v>
      </c>
      <c r="J18" s="7" t="s">
        <v>13</v>
      </c>
      <c r="K18" s="7" t="s">
        <v>13</v>
      </c>
      <c r="L18" s="7" t="s">
        <v>13</v>
      </c>
      <c r="M18" s="7" t="s">
        <v>13</v>
      </c>
      <c r="N18" s="7" t="s">
        <v>13</v>
      </c>
      <c r="O18" s="7" t="s">
        <v>13</v>
      </c>
      <c r="P18" s="7" t="s">
        <v>13</v>
      </c>
      <c r="Q18" s="6"/>
      <c r="R18" s="6"/>
      <c r="S18" s="6"/>
      <c r="T18" s="6"/>
      <c r="U18" s="6"/>
    </row>
    <row r="19">
      <c r="A19" s="6" t="str">
        <f>Bio!A19</f>
        <v>Zander Zangoei</v>
      </c>
      <c r="B19" s="7" t="s">
        <v>135</v>
      </c>
      <c r="C19" s="7" t="s">
        <v>136</v>
      </c>
      <c r="D19" s="7" t="s">
        <v>137</v>
      </c>
      <c r="E19" s="7" t="s">
        <v>13</v>
      </c>
      <c r="F19" s="7" t="s">
        <v>154</v>
      </c>
      <c r="G19" s="7" t="s">
        <v>148</v>
      </c>
      <c r="H19" s="7" t="s">
        <v>149</v>
      </c>
      <c r="I19" s="7" t="s">
        <v>149</v>
      </c>
      <c r="J19" s="7" t="s">
        <v>141</v>
      </c>
      <c r="K19" s="7" t="s">
        <v>142</v>
      </c>
      <c r="L19" s="7" t="s">
        <v>143</v>
      </c>
      <c r="M19" s="7" t="s">
        <v>13</v>
      </c>
      <c r="N19" s="7" t="s">
        <v>13</v>
      </c>
      <c r="O19" s="7" t="s">
        <v>13</v>
      </c>
      <c r="P19" s="7" t="s">
        <v>13</v>
      </c>
      <c r="Q19" s="6"/>
      <c r="R19" s="6"/>
      <c r="S19" s="6"/>
      <c r="T19" s="6"/>
      <c r="U19" s="6"/>
    </row>
    <row r="20">
      <c r="A20" s="6" t="str">
        <f>Bio!A20</f>
        <v>Blake Stewart</v>
      </c>
      <c r="B20" s="7" t="s">
        <v>135</v>
      </c>
      <c r="C20" s="7" t="s">
        <v>136</v>
      </c>
      <c r="D20" s="7" t="s">
        <v>137</v>
      </c>
      <c r="E20" s="7" t="s">
        <v>13</v>
      </c>
      <c r="F20" s="7" t="s">
        <v>154</v>
      </c>
      <c r="G20" s="7" t="s">
        <v>140</v>
      </c>
      <c r="H20" s="7" t="s">
        <v>149</v>
      </c>
      <c r="I20" s="7" t="s">
        <v>149</v>
      </c>
      <c r="J20" s="7" t="s">
        <v>141</v>
      </c>
      <c r="K20" s="7" t="s">
        <v>142</v>
      </c>
      <c r="L20" s="7" t="s">
        <v>143</v>
      </c>
      <c r="M20" s="7" t="s">
        <v>13</v>
      </c>
      <c r="N20" s="7" t="s">
        <v>13</v>
      </c>
      <c r="O20" s="7" t="s">
        <v>13</v>
      </c>
      <c r="P20" s="7" t="s">
        <v>13</v>
      </c>
      <c r="Q20" s="6"/>
      <c r="R20" s="6"/>
      <c r="S20" s="6"/>
      <c r="T20" s="6"/>
      <c r="U20" s="6"/>
    </row>
    <row r="21">
      <c r="A21" s="6" t="str">
        <f>Bio!A21</f>
        <v>Matthew Siskowski</v>
      </c>
      <c r="B21" s="7" t="s">
        <v>135</v>
      </c>
      <c r="C21" s="7" t="s">
        <v>136</v>
      </c>
      <c r="D21" s="7" t="s">
        <v>149</v>
      </c>
      <c r="E21" s="7" t="s">
        <v>13</v>
      </c>
      <c r="F21" s="7" t="s">
        <v>139</v>
      </c>
      <c r="G21" s="7" t="s">
        <v>140</v>
      </c>
      <c r="H21" s="7" t="s">
        <v>149</v>
      </c>
      <c r="I21" s="7" t="s">
        <v>137</v>
      </c>
      <c r="J21" s="7" t="s">
        <v>141</v>
      </c>
      <c r="K21" s="7" t="s">
        <v>142</v>
      </c>
      <c r="L21" s="7" t="s">
        <v>143</v>
      </c>
      <c r="M21" s="7" t="s">
        <v>153</v>
      </c>
      <c r="N21" s="7" t="s">
        <v>145</v>
      </c>
      <c r="O21" s="7" t="s">
        <v>144</v>
      </c>
      <c r="P21" s="7" t="s">
        <v>155</v>
      </c>
      <c r="Q21" s="6"/>
      <c r="R21" s="6"/>
      <c r="S21" s="6"/>
      <c r="T21" s="6"/>
      <c r="U21" s="6"/>
    </row>
    <row r="22">
      <c r="A22" s="6" t="str">
        <f>Bio!A22</f>
        <v>Linkyn Fuller</v>
      </c>
      <c r="B22" s="3" t="s">
        <v>135</v>
      </c>
      <c r="C22" s="3" t="s">
        <v>156</v>
      </c>
      <c r="D22" s="3" t="s">
        <v>137</v>
      </c>
      <c r="E22" s="3" t="s">
        <v>13</v>
      </c>
      <c r="F22" s="3" t="s">
        <v>139</v>
      </c>
      <c r="G22" s="3" t="s">
        <v>160</v>
      </c>
      <c r="H22" s="3" t="s">
        <v>137</v>
      </c>
      <c r="I22" s="3" t="s">
        <v>149</v>
      </c>
      <c r="J22" s="3" t="s">
        <v>150</v>
      </c>
      <c r="K22" s="3" t="s">
        <v>151</v>
      </c>
      <c r="L22" s="3" t="s">
        <v>152</v>
      </c>
      <c r="M22" s="3" t="s">
        <v>13</v>
      </c>
      <c r="N22" s="3" t="s">
        <v>13</v>
      </c>
      <c r="O22" s="3" t="s">
        <v>13</v>
      </c>
      <c r="P22" s="3" t="s">
        <v>13</v>
      </c>
      <c r="Q22" s="6"/>
      <c r="R22" s="6"/>
      <c r="S22" s="6"/>
      <c r="T22" s="6"/>
      <c r="U22" s="6"/>
    </row>
    <row r="23">
      <c r="A23" s="6" t="str">
        <f>Bio!A23</f>
        <v/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</row>
    <row r="24">
      <c r="A24" s="6" t="str">
        <f>Bio!A24</f>
        <v/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</row>
    <row r="25">
      <c r="A25" s="6" t="str">
        <f>Bio!A25</f>
        <v/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</row>
    <row r="26">
      <c r="A26" s="6" t="str">
        <f>Bio!A26</f>
        <v/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</row>
    <row r="27">
      <c r="A27" s="6" t="str">
        <f>Bio!A27</f>
        <v/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</row>
    <row r="28">
      <c r="A28" s="6" t="str">
        <f>Bio!A28</f>
        <v/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4" max="4" width="14.38"/>
    <col customWidth="1" min="5" max="5" width="18.0"/>
    <col customWidth="1" min="6" max="6" width="18.5"/>
    <col customWidth="1" min="10" max="10" width="14.75"/>
    <col customWidth="1" min="11" max="11" width="19.5"/>
    <col customWidth="1" min="12" max="12" width="16.88"/>
    <col customWidth="1" min="13" max="14" width="14.5"/>
  </cols>
  <sheetData>
    <row r="1">
      <c r="A1" s="12" t="s">
        <v>161</v>
      </c>
      <c r="B1" s="13" t="s">
        <v>162</v>
      </c>
      <c r="C1" s="12" t="s">
        <v>163</v>
      </c>
      <c r="D1" s="12" t="s">
        <v>164</v>
      </c>
      <c r="E1" s="12" t="s">
        <v>165</v>
      </c>
      <c r="F1" s="12" t="s">
        <v>166</v>
      </c>
      <c r="G1" s="14" t="s">
        <v>167</v>
      </c>
      <c r="H1" s="12" t="s">
        <v>168</v>
      </c>
      <c r="I1" s="12" t="s">
        <v>169</v>
      </c>
      <c r="J1" s="12" t="s">
        <v>170</v>
      </c>
      <c r="K1" s="12" t="s">
        <v>171</v>
      </c>
      <c r="L1" s="12" t="s">
        <v>172</v>
      </c>
      <c r="M1" s="12" t="s">
        <v>173</v>
      </c>
      <c r="N1" s="12"/>
      <c r="O1" s="15"/>
      <c r="P1" s="15"/>
      <c r="Q1" s="15"/>
      <c r="R1" s="15"/>
      <c r="S1" s="15"/>
      <c r="T1" s="15"/>
      <c r="U1" s="15"/>
      <c r="V1" s="6"/>
      <c r="W1" s="6"/>
      <c r="X1" s="6"/>
    </row>
    <row r="2">
      <c r="A2" s="3" t="str">
        <f>Bio!A2</f>
        <v>Matthew Heredia</v>
      </c>
      <c r="B2" s="16">
        <v>46084.0</v>
      </c>
      <c r="C2" s="3">
        <v>1.0</v>
      </c>
      <c r="D2" s="3">
        <v>165.0</v>
      </c>
      <c r="E2" s="3">
        <v>27.1</v>
      </c>
      <c r="F2" s="3">
        <v>33.1</v>
      </c>
      <c r="G2" s="3">
        <v>29.7</v>
      </c>
      <c r="H2" s="3">
        <v>24.3</v>
      </c>
      <c r="I2" s="3">
        <v>29.8</v>
      </c>
      <c r="J2" s="3" t="s">
        <v>13</v>
      </c>
      <c r="K2" s="3" t="s">
        <v>13</v>
      </c>
      <c r="L2" s="3" t="s">
        <v>13</v>
      </c>
      <c r="M2" s="3" t="s">
        <v>13</v>
      </c>
      <c r="N2" s="3"/>
      <c r="O2" s="6"/>
      <c r="P2" s="6"/>
      <c r="Q2" s="6"/>
      <c r="R2" s="6"/>
      <c r="S2" s="6"/>
      <c r="T2" s="6"/>
      <c r="U2" s="6"/>
      <c r="V2" s="6"/>
      <c r="W2" s="6"/>
      <c r="X2" s="6"/>
    </row>
    <row r="3">
      <c r="A3" s="6" t="str">
        <f>Bio!A3</f>
        <v>Jason Drew</v>
      </c>
      <c r="B3" s="16">
        <v>46090.0</v>
      </c>
      <c r="C3" s="3">
        <v>1.0</v>
      </c>
      <c r="D3" s="3">
        <v>165.0</v>
      </c>
      <c r="E3" s="3">
        <v>23.9</v>
      </c>
      <c r="F3" s="3">
        <v>28.1</v>
      </c>
      <c r="G3" s="3">
        <v>15.5</v>
      </c>
      <c r="H3" s="3">
        <v>14.4</v>
      </c>
      <c r="I3" s="3">
        <v>17.2</v>
      </c>
      <c r="J3" s="3">
        <v>0.7</v>
      </c>
      <c r="K3" s="3">
        <v>0.33</v>
      </c>
      <c r="L3" s="3">
        <v>0.62</v>
      </c>
      <c r="M3" s="3">
        <v>258.0</v>
      </c>
      <c r="N3" s="3"/>
      <c r="O3" s="6"/>
      <c r="P3" s="6"/>
      <c r="Q3" s="6"/>
      <c r="R3" s="6"/>
      <c r="S3" s="6"/>
      <c r="T3" s="6"/>
      <c r="U3" s="6"/>
      <c r="V3" s="6"/>
      <c r="W3" s="6"/>
      <c r="X3" s="6"/>
    </row>
    <row r="4">
      <c r="A4" s="3" t="str">
        <f>Bio!A4</f>
        <v>Josh Jacob</v>
      </c>
      <c r="B4" s="16">
        <v>46050.0</v>
      </c>
      <c r="C4" s="3">
        <v>1.0</v>
      </c>
      <c r="D4" s="3">
        <v>150.0</v>
      </c>
      <c r="E4" s="3">
        <v>26.1</v>
      </c>
      <c r="F4" s="3">
        <v>29.5</v>
      </c>
      <c r="G4" s="3">
        <v>26.5</v>
      </c>
      <c r="H4" s="3">
        <v>20.5</v>
      </c>
      <c r="I4" s="3">
        <v>29.3</v>
      </c>
      <c r="J4" s="3">
        <v>0.95</v>
      </c>
      <c r="K4" s="3">
        <v>0.55</v>
      </c>
      <c r="L4" s="3">
        <v>0.96</v>
      </c>
      <c r="M4" s="3">
        <v>312.0</v>
      </c>
      <c r="N4" s="3"/>
      <c r="O4" s="6"/>
      <c r="P4" s="6"/>
      <c r="Q4" s="6"/>
      <c r="R4" s="6"/>
      <c r="S4" s="6"/>
      <c r="T4" s="6"/>
      <c r="U4" s="6"/>
      <c r="V4" s="6"/>
      <c r="W4" s="6"/>
      <c r="X4" s="6"/>
    </row>
    <row r="5">
      <c r="A5" s="3" t="str">
        <f>Bio!A5</f>
        <v>Collin Vaughan</v>
      </c>
      <c r="B5" s="3" t="s">
        <v>13</v>
      </c>
      <c r="C5" s="3" t="s">
        <v>13</v>
      </c>
      <c r="D5" s="3" t="s">
        <v>13</v>
      </c>
      <c r="E5" s="3" t="s">
        <v>13</v>
      </c>
      <c r="F5" s="3" t="s">
        <v>13</v>
      </c>
      <c r="G5" s="3" t="s">
        <v>13</v>
      </c>
      <c r="H5" s="3" t="s">
        <v>13</v>
      </c>
      <c r="I5" s="3" t="s">
        <v>13</v>
      </c>
      <c r="J5" s="3" t="s">
        <v>13</v>
      </c>
      <c r="K5" s="3" t="s">
        <v>13</v>
      </c>
      <c r="L5" s="3" t="s">
        <v>13</v>
      </c>
      <c r="M5" s="3" t="s">
        <v>13</v>
      </c>
      <c r="N5" s="3"/>
      <c r="O5" s="6"/>
      <c r="P5" s="6"/>
      <c r="Q5" s="6"/>
      <c r="R5" s="6"/>
      <c r="S5" s="6"/>
      <c r="T5" s="6"/>
      <c r="U5" s="6"/>
      <c r="V5" s="6"/>
      <c r="W5" s="6"/>
      <c r="X5" s="6"/>
    </row>
    <row r="6">
      <c r="A6" s="6" t="str">
        <f>Bio!A6</f>
        <v>Harrison Coneway</v>
      </c>
      <c r="B6" s="16">
        <v>46045.0</v>
      </c>
      <c r="C6" s="3">
        <v>2.0</v>
      </c>
      <c r="D6" s="3">
        <v>170.0</v>
      </c>
      <c r="E6" s="3">
        <v>23.5</v>
      </c>
      <c r="F6" s="3">
        <v>30.3</v>
      </c>
      <c r="G6" s="3">
        <v>24.5</v>
      </c>
      <c r="H6" s="3">
        <v>20.7</v>
      </c>
      <c r="I6" s="3">
        <v>26.6</v>
      </c>
      <c r="J6" s="3">
        <v>0.77</v>
      </c>
      <c r="K6" s="3">
        <v>0.58</v>
      </c>
      <c r="L6" s="3">
        <v>0.91</v>
      </c>
      <c r="M6" s="3">
        <v>326.0</v>
      </c>
      <c r="N6" s="3"/>
      <c r="O6" s="6"/>
      <c r="P6" s="6"/>
      <c r="Q6" s="6"/>
      <c r="R6" s="6"/>
      <c r="S6" s="6"/>
      <c r="T6" s="6"/>
      <c r="U6" s="6"/>
      <c r="V6" s="6"/>
      <c r="W6" s="6"/>
      <c r="X6" s="6"/>
    </row>
    <row r="7">
      <c r="A7" s="3" t="str">
        <f>Bio!A7</f>
        <v>Vince Long</v>
      </c>
      <c r="B7" s="16">
        <v>46000.0</v>
      </c>
      <c r="C7" s="3">
        <v>2.0</v>
      </c>
      <c r="D7" s="3">
        <v>195.0</v>
      </c>
      <c r="E7" s="3">
        <v>25.9</v>
      </c>
      <c r="F7" s="3">
        <v>30.9</v>
      </c>
      <c r="G7" s="3">
        <v>25.3</v>
      </c>
      <c r="H7" s="3">
        <v>23.3</v>
      </c>
      <c r="I7" s="3">
        <v>26.6</v>
      </c>
      <c r="J7" s="3">
        <v>0.82</v>
      </c>
      <c r="K7" s="3">
        <v>0.77</v>
      </c>
      <c r="L7" s="3">
        <v>0.7</v>
      </c>
      <c r="M7" s="3">
        <v>313.0</v>
      </c>
      <c r="N7" s="3"/>
      <c r="O7" s="6"/>
      <c r="P7" s="6"/>
      <c r="Q7" s="6"/>
      <c r="R7" s="6"/>
      <c r="S7" s="6"/>
      <c r="T7" s="6"/>
      <c r="U7" s="6"/>
      <c r="V7" s="6"/>
      <c r="W7" s="6"/>
      <c r="X7" s="6"/>
    </row>
    <row r="8">
      <c r="A8" s="3" t="str">
        <f>Bio!A8</f>
        <v>Noah Satine</v>
      </c>
      <c r="B8" s="16">
        <v>46045.0</v>
      </c>
      <c r="C8" s="3">
        <v>2.0</v>
      </c>
      <c r="D8" s="3">
        <v>170.0</v>
      </c>
      <c r="E8" s="3">
        <v>27.9</v>
      </c>
      <c r="F8" s="3">
        <v>31.4</v>
      </c>
      <c r="G8" s="3">
        <v>28.6</v>
      </c>
      <c r="H8" s="3">
        <v>24.7</v>
      </c>
      <c r="I8" s="3">
        <v>29.7</v>
      </c>
      <c r="J8" s="3">
        <v>0.92</v>
      </c>
      <c r="K8" s="3">
        <v>0.77</v>
      </c>
      <c r="L8" s="3">
        <v>0.93</v>
      </c>
      <c r="M8" s="3">
        <v>318.0</v>
      </c>
      <c r="N8" s="3"/>
      <c r="O8" s="6"/>
      <c r="P8" s="6"/>
      <c r="Q8" s="6"/>
      <c r="R8" s="6"/>
      <c r="S8" s="6"/>
      <c r="T8" s="6"/>
      <c r="U8" s="6"/>
      <c r="V8" s="6"/>
      <c r="W8" s="6"/>
      <c r="X8" s="6"/>
    </row>
    <row r="9">
      <c r="A9" s="6" t="str">
        <f>Bio!A9</f>
        <v>Ford Stratton</v>
      </c>
      <c r="B9" s="16">
        <v>46043.0</v>
      </c>
      <c r="C9" s="3">
        <v>2.0</v>
      </c>
      <c r="D9" s="3">
        <v>180.0</v>
      </c>
      <c r="E9" s="3">
        <v>24.9</v>
      </c>
      <c r="F9" s="3">
        <v>29.4</v>
      </c>
      <c r="G9" s="3">
        <v>20.5</v>
      </c>
      <c r="H9" s="3">
        <v>17.3</v>
      </c>
      <c r="I9" s="3">
        <v>22.2</v>
      </c>
      <c r="J9" s="3">
        <v>0.68</v>
      </c>
      <c r="K9" s="3">
        <v>0.43</v>
      </c>
      <c r="L9" s="3">
        <v>0.76</v>
      </c>
      <c r="M9" s="3">
        <v>278.0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>
      <c r="A10" s="3" t="str">
        <f>Bio!A10</f>
        <v>Jack Snakenberg</v>
      </c>
      <c r="B10" s="16">
        <v>46049.0</v>
      </c>
      <c r="C10" s="3">
        <v>1.0</v>
      </c>
      <c r="D10" s="3">
        <v>210.0</v>
      </c>
      <c r="E10" s="3">
        <v>30.9</v>
      </c>
      <c r="F10" s="3">
        <v>27.7</v>
      </c>
      <c r="G10" s="3">
        <v>22.3</v>
      </c>
      <c r="H10" s="3">
        <v>21.4</v>
      </c>
      <c r="I10" s="3">
        <v>24.0</v>
      </c>
      <c r="J10" s="3">
        <v>0.92</v>
      </c>
      <c r="K10" s="3">
        <v>0.5</v>
      </c>
      <c r="L10" s="3">
        <v>0.87</v>
      </c>
      <c r="M10" s="3">
        <v>297.0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>
      <c r="A11" s="3" t="str">
        <f>Bio!A11</f>
        <v>Koji Paul (Hitter)</v>
      </c>
      <c r="B11" s="16">
        <v>46051.0</v>
      </c>
      <c r="C11" s="3">
        <v>2.0</v>
      </c>
      <c r="D11" s="3">
        <v>175.0</v>
      </c>
      <c r="E11" s="3">
        <v>26.1</v>
      </c>
      <c r="F11" s="3">
        <v>29.8</v>
      </c>
      <c r="G11" s="3">
        <v>25.9</v>
      </c>
      <c r="H11" s="3">
        <v>22.4</v>
      </c>
      <c r="I11" s="3">
        <v>27.1</v>
      </c>
      <c r="J11" s="3">
        <v>0.86</v>
      </c>
      <c r="K11" s="3">
        <v>0.92</v>
      </c>
      <c r="L11" s="3">
        <v>0.77</v>
      </c>
      <c r="M11" s="3">
        <v>320.0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>
      <c r="A12" s="6" t="str">
        <f>Bio!A12</f>
        <v>Preston Steeno</v>
      </c>
      <c r="B12" s="16">
        <v>46043.0</v>
      </c>
      <c r="C12" s="3">
        <v>2.0</v>
      </c>
      <c r="D12" s="3">
        <v>205.0</v>
      </c>
      <c r="E12" s="3">
        <v>32.2</v>
      </c>
      <c r="F12" s="3">
        <v>27.1</v>
      </c>
      <c r="G12" s="3">
        <v>21.0</v>
      </c>
      <c r="H12" s="3">
        <v>18.6</v>
      </c>
      <c r="I12" s="3">
        <v>23.2</v>
      </c>
      <c r="J12" s="3">
        <v>0.62</v>
      </c>
      <c r="K12" s="3">
        <v>0.31</v>
      </c>
      <c r="L12" s="3">
        <v>0.46</v>
      </c>
      <c r="M12" s="3">
        <v>271.0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>
      <c r="A13" s="3" t="str">
        <f>Bio!A13</f>
        <v>Andy Torres</v>
      </c>
      <c r="B13" s="16">
        <v>46043.0</v>
      </c>
      <c r="C13" s="3">
        <v>2.0</v>
      </c>
      <c r="D13" s="3">
        <v>170.0</v>
      </c>
      <c r="E13" s="3">
        <v>28.5</v>
      </c>
      <c r="F13" s="3">
        <v>30.8</v>
      </c>
      <c r="G13" s="3">
        <v>28.1</v>
      </c>
      <c r="H13" s="3">
        <v>24.2</v>
      </c>
      <c r="I13" s="3">
        <v>30.3</v>
      </c>
      <c r="J13" s="3">
        <v>0.81</v>
      </c>
      <c r="K13" s="3">
        <v>0.74</v>
      </c>
      <c r="L13" s="3">
        <v>0.6</v>
      </c>
      <c r="M13" s="3">
        <v>322.0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>
      <c r="A14" s="3" t="str">
        <f>Bio!A14</f>
        <v>Mason Duncan</v>
      </c>
      <c r="B14" s="3" t="s">
        <v>13</v>
      </c>
      <c r="C14" s="3" t="s">
        <v>13</v>
      </c>
      <c r="D14" s="3" t="s">
        <v>13</v>
      </c>
      <c r="E14" s="3" t="s">
        <v>13</v>
      </c>
      <c r="F14" s="3" t="s">
        <v>13</v>
      </c>
      <c r="G14" s="3" t="s">
        <v>13</v>
      </c>
      <c r="H14" s="3" t="s">
        <v>13</v>
      </c>
      <c r="I14" s="3" t="s">
        <v>13</v>
      </c>
      <c r="J14" s="3" t="s">
        <v>13</v>
      </c>
      <c r="K14" s="3" t="s">
        <v>13</v>
      </c>
      <c r="L14" s="3" t="s">
        <v>13</v>
      </c>
      <c r="M14" s="3" t="s">
        <v>13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>
      <c r="A15" s="6" t="str">
        <f>Bio!A15</f>
        <v>Donnie Hooten</v>
      </c>
      <c r="B15" s="16">
        <v>46044.0</v>
      </c>
      <c r="C15" s="3">
        <v>1.0</v>
      </c>
      <c r="D15" s="3">
        <v>195.0</v>
      </c>
      <c r="E15" s="3">
        <v>29.0</v>
      </c>
      <c r="F15" s="3">
        <v>30.2</v>
      </c>
      <c r="G15" s="3">
        <v>28.5</v>
      </c>
      <c r="H15" s="3">
        <v>25.7</v>
      </c>
      <c r="I15" s="3">
        <v>31.0</v>
      </c>
      <c r="J15" s="3">
        <v>0.93</v>
      </c>
      <c r="K15" s="3">
        <v>0.72</v>
      </c>
      <c r="L15" s="3">
        <v>0.79</v>
      </c>
      <c r="M15" s="3">
        <v>341.0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>
      <c r="A16" s="3" t="str">
        <f>Bio!A16</f>
        <v>Lucas Arnold</v>
      </c>
      <c r="B16" s="16">
        <v>46043.0</v>
      </c>
      <c r="C16" s="3">
        <v>1.0</v>
      </c>
      <c r="D16" s="3">
        <v>185.0</v>
      </c>
      <c r="E16" s="3">
        <v>28.9</v>
      </c>
      <c r="F16" s="3">
        <v>30.3</v>
      </c>
      <c r="G16" s="3">
        <v>25.3</v>
      </c>
      <c r="H16" s="3">
        <v>21.2</v>
      </c>
      <c r="I16" s="3">
        <v>26.9</v>
      </c>
      <c r="J16" s="3">
        <v>0.84</v>
      </c>
      <c r="K16" s="3">
        <v>0.67</v>
      </c>
      <c r="L16" s="3">
        <v>0.86</v>
      </c>
      <c r="M16" s="3">
        <v>310.0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>
      <c r="A17" s="3" t="str">
        <f>Bio!A17</f>
        <v>Blake Lyle</v>
      </c>
      <c r="B17" s="16">
        <v>46120.0</v>
      </c>
      <c r="C17" s="3">
        <v>1.0</v>
      </c>
      <c r="D17" s="3">
        <v>150.0</v>
      </c>
      <c r="E17" s="3">
        <v>26.2</v>
      </c>
      <c r="F17" s="3">
        <v>25.0</v>
      </c>
      <c r="G17" s="3">
        <v>23.8</v>
      </c>
      <c r="H17" s="3">
        <v>20.7</v>
      </c>
      <c r="I17" s="3">
        <v>25.7</v>
      </c>
      <c r="J17" s="3" t="s">
        <v>13</v>
      </c>
      <c r="K17" s="3" t="s">
        <v>13</v>
      </c>
      <c r="L17" s="3" t="s">
        <v>13</v>
      </c>
      <c r="M17" s="3" t="s">
        <v>13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>
      <c r="A18" s="6" t="str">
        <f>Bio!A18</f>
        <v>Caleb Hunter</v>
      </c>
      <c r="B18" s="16">
        <v>46143.0</v>
      </c>
      <c r="C18" s="3">
        <v>1.0</v>
      </c>
      <c r="D18" s="7">
        <v>142.0</v>
      </c>
      <c r="E18" s="7">
        <v>22.1</v>
      </c>
      <c r="F18" s="7">
        <v>25.4</v>
      </c>
      <c r="G18" s="7">
        <v>21.8</v>
      </c>
      <c r="H18" s="7">
        <v>16.6</v>
      </c>
      <c r="I18" s="7">
        <v>23.4</v>
      </c>
      <c r="J18" s="7" t="s">
        <v>13</v>
      </c>
      <c r="K18" s="7" t="s">
        <v>13</v>
      </c>
      <c r="L18" s="7" t="s">
        <v>13</v>
      </c>
      <c r="M18" s="7" t="s">
        <v>13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3" t="str">
        <f>Bio!A19</f>
        <v>Zander Zangoei</v>
      </c>
      <c r="B19" s="16">
        <v>46143.0</v>
      </c>
      <c r="C19" s="3">
        <v>1.0</v>
      </c>
      <c r="D19" s="7" t="s">
        <v>13</v>
      </c>
      <c r="E19" s="7">
        <v>28.1</v>
      </c>
      <c r="F19" s="7">
        <v>29.9</v>
      </c>
      <c r="G19" s="7">
        <v>22.9</v>
      </c>
      <c r="H19" s="7">
        <v>19.9</v>
      </c>
      <c r="I19" s="7">
        <v>25.8</v>
      </c>
      <c r="J19" s="7" t="s">
        <v>13</v>
      </c>
      <c r="K19" s="7" t="s">
        <v>13</v>
      </c>
      <c r="L19" s="7" t="s">
        <v>13</v>
      </c>
      <c r="M19" s="7">
        <v>298.0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>
      <c r="A20" s="3" t="str">
        <f>Bio!A20</f>
        <v>Blake Stewart</v>
      </c>
      <c r="B20" s="16">
        <v>46143.0</v>
      </c>
      <c r="C20" s="3">
        <v>1.0</v>
      </c>
      <c r="D20" s="7" t="s">
        <v>13</v>
      </c>
      <c r="E20" s="7">
        <v>30.6</v>
      </c>
      <c r="F20" s="7">
        <v>28.9</v>
      </c>
      <c r="G20" s="7">
        <v>25.8</v>
      </c>
      <c r="H20" s="7">
        <v>24.4</v>
      </c>
      <c r="I20" s="7">
        <v>27.2</v>
      </c>
      <c r="J20" s="7" t="s">
        <v>13</v>
      </c>
      <c r="K20" s="7" t="s">
        <v>13</v>
      </c>
      <c r="L20" s="7" t="s">
        <v>13</v>
      </c>
      <c r="M20" s="7">
        <v>320.0</v>
      </c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>
      <c r="A21" s="6" t="str">
        <f>Bio!A21</f>
        <v>Matthew Siskowski</v>
      </c>
      <c r="B21" s="16">
        <v>46143.0</v>
      </c>
      <c r="C21" s="3">
        <v>1.0</v>
      </c>
      <c r="D21" s="7">
        <v>159.0</v>
      </c>
      <c r="E21" s="7">
        <v>25.4</v>
      </c>
      <c r="F21" s="7">
        <v>28.8</v>
      </c>
      <c r="G21" s="7">
        <v>25.3</v>
      </c>
      <c r="H21" s="7">
        <v>20.2</v>
      </c>
      <c r="I21" s="7">
        <v>27.3</v>
      </c>
      <c r="J21" s="7" t="s">
        <v>13</v>
      </c>
      <c r="K21" s="7" t="s">
        <v>13</v>
      </c>
      <c r="L21" s="7" t="s">
        <v>13</v>
      </c>
      <c r="M21" s="7" t="s">
        <v>13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>
      <c r="A22" s="3" t="str">
        <f>Bio!A22</f>
        <v>Linkyn Fuller</v>
      </c>
      <c r="B22" s="16">
        <v>46151.0</v>
      </c>
      <c r="C22" s="3">
        <v>1.0</v>
      </c>
      <c r="D22" s="3">
        <v>156.0</v>
      </c>
      <c r="E22" s="3">
        <v>26.9</v>
      </c>
      <c r="F22" s="3">
        <v>30.6</v>
      </c>
      <c r="G22" s="3">
        <v>27.3</v>
      </c>
      <c r="H22" s="3">
        <v>21.8</v>
      </c>
      <c r="I22" s="3">
        <v>28.0</v>
      </c>
      <c r="J22" s="3" t="s">
        <v>13</v>
      </c>
      <c r="K22" s="3" t="s">
        <v>13</v>
      </c>
      <c r="L22" s="3" t="s">
        <v>13</v>
      </c>
      <c r="M22" s="3">
        <v>331.0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>
      <c r="A23" s="3" t="str">
        <f>Bio!A23</f>
        <v/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>
      <c r="A24" s="6" t="str">
        <f>Bio!A24</f>
        <v/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>
      <c r="A25" s="3" t="str">
        <f>Bio!A25</f>
        <v/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>
      <c r="A26" s="3" t="str">
        <f>Bio!A26</f>
        <v/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>
      <c r="A27" s="6" t="str">
        <f>Bio!A27</f>
        <v/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>
      <c r="A28" s="3" t="str">
        <f>Bio!A28</f>
        <v/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>
      <c r="A29" s="3" t="str">
        <f>Bio!A29</f>
        <v/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>
      <c r="A30" s="6" t="str">
        <f>Bio!A30</f>
        <v/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>
      <c r="A31" s="3" t="str">
        <f>Bio!A31</f>
        <v/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>
      <c r="A32" s="3" t="str">
        <f>Bio!A32</f>
        <v/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>
      <c r="A33" s="6" t="str">
        <f>Bio!A33</f>
        <v/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>
      <c r="A34" s="3" t="str">
        <f>Bio!A34</f>
        <v/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>
      <c r="A35" s="3" t="str">
        <f>Bio!A35</f>
        <v/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>
      <c r="A36" s="6" t="str">
        <f>Bio!A36</f>
        <v/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>
      <c r="A37" s="3" t="str">
        <f>Bio!A37</f>
        <v/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>
      <c r="A38" s="3" t="str">
        <f>Bio!A38</f>
        <v/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>
      <c r="A39" s="6" t="str">
        <f>Bio!A39</f>
        <v/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>
      <c r="A40" s="3" t="str">
        <f>Bio!A40</f>
        <v/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>
      <c r="A41" s="3" t="str">
        <f>Bio!A41</f>
        <v/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>
      <c r="A42" s="6" t="str">
        <f>Bio!A42</f>
        <v/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>
      <c r="A43" s="3" t="str">
        <f>Bio!A43</f>
        <v/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>
      <c r="A44" s="3" t="str">
        <f>Bio!A44</f>
        <v/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>
      <c r="A45" s="6" t="str">
        <f>Bio!A45</f>
        <v/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>
      <c r="A46" s="3" t="str">
        <f>Bio!A46</f>
        <v/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>
      <c r="A47" s="3" t="str">
        <f>Bio!A47</f>
        <v/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>
      <c r="A48" s="6" t="str">
        <f>Bio!A48</f>
        <v/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10" max="10" width="47.75"/>
    <col customWidth="1" min="11" max="11" width="64.13"/>
    <col customWidth="1" min="12" max="12" width="48.38"/>
  </cols>
  <sheetData>
    <row r="1">
      <c r="A1" s="1" t="s">
        <v>119</v>
      </c>
      <c r="B1" s="1" t="s">
        <v>174</v>
      </c>
      <c r="C1" s="1" t="s">
        <v>175</v>
      </c>
      <c r="D1" s="1" t="s">
        <v>176</v>
      </c>
      <c r="E1" s="1" t="s">
        <v>177</v>
      </c>
      <c r="F1" s="1" t="s">
        <v>178</v>
      </c>
      <c r="G1" s="1" t="s">
        <v>179</v>
      </c>
      <c r="H1" s="1" t="s">
        <v>180</v>
      </c>
      <c r="I1" s="1" t="s">
        <v>181</v>
      </c>
      <c r="J1" s="1" t="s">
        <v>182</v>
      </c>
      <c r="K1" s="1" t="s">
        <v>183</v>
      </c>
      <c r="L1" s="1" t="s">
        <v>184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tr">
        <f>Bio!A2</f>
        <v>Matthew Heredia</v>
      </c>
      <c r="B2" s="16">
        <v>46084.0</v>
      </c>
      <c r="C2" s="3">
        <v>88.0</v>
      </c>
      <c r="D2" s="6"/>
      <c r="E2" s="3" t="s">
        <v>185</v>
      </c>
      <c r="F2" s="3" t="s">
        <v>186</v>
      </c>
      <c r="G2" s="3" t="s">
        <v>187</v>
      </c>
      <c r="H2" s="3" t="s">
        <v>13</v>
      </c>
      <c r="I2" s="3" t="s">
        <v>13</v>
      </c>
      <c r="J2" s="3" t="s">
        <v>188</v>
      </c>
      <c r="K2" s="3" t="s">
        <v>189</v>
      </c>
      <c r="L2" s="3" t="s">
        <v>190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6" t="str">
        <f>Bio!A3</f>
        <v>Jason Drew</v>
      </c>
      <c r="B3" s="16">
        <v>46090.0</v>
      </c>
      <c r="C3" s="3">
        <v>74.0</v>
      </c>
      <c r="D3" s="6"/>
      <c r="E3" s="3" t="s">
        <v>185</v>
      </c>
      <c r="F3" s="3" t="s">
        <v>186</v>
      </c>
      <c r="G3" s="3" t="s">
        <v>191</v>
      </c>
      <c r="H3" s="3" t="s">
        <v>187</v>
      </c>
      <c r="I3" s="3" t="s">
        <v>13</v>
      </c>
      <c r="J3" s="3" t="s">
        <v>188</v>
      </c>
      <c r="K3" s="3" t="s">
        <v>192</v>
      </c>
      <c r="L3" s="3" t="s">
        <v>193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3" t="str">
        <f>Bio!A4</f>
        <v>Josh Jacob</v>
      </c>
      <c r="B4" s="16">
        <v>46048.0</v>
      </c>
      <c r="C4" s="3">
        <v>84.0</v>
      </c>
      <c r="D4" s="3">
        <v>81.0</v>
      </c>
      <c r="E4" s="3" t="s">
        <v>185</v>
      </c>
      <c r="F4" s="3" t="s">
        <v>194</v>
      </c>
      <c r="G4" s="3" t="s">
        <v>191</v>
      </c>
      <c r="H4" s="3" t="s">
        <v>187</v>
      </c>
      <c r="I4" s="3" t="s">
        <v>13</v>
      </c>
      <c r="J4" s="3" t="s">
        <v>195</v>
      </c>
      <c r="K4" s="3" t="s">
        <v>196</v>
      </c>
      <c r="L4" s="3" t="s">
        <v>197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6" t="str">
        <f>Bio!A5</f>
        <v>Collin Vaughan</v>
      </c>
      <c r="B5" s="16">
        <v>46055.0</v>
      </c>
      <c r="C5" s="3">
        <v>89.0</v>
      </c>
      <c r="D5" s="3">
        <v>86.0</v>
      </c>
      <c r="E5" s="3" t="s">
        <v>185</v>
      </c>
      <c r="F5" s="3" t="s">
        <v>198</v>
      </c>
      <c r="G5" s="3" t="s">
        <v>187</v>
      </c>
      <c r="H5" s="3" t="s">
        <v>199</v>
      </c>
      <c r="I5" s="3" t="s">
        <v>191</v>
      </c>
      <c r="J5" s="3" t="s">
        <v>188</v>
      </c>
      <c r="K5" s="3" t="s">
        <v>200</v>
      </c>
      <c r="L5" s="3" t="s">
        <v>197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3" t="str">
        <f>Bio!A6</f>
        <v>Harrison Coneway</v>
      </c>
      <c r="B6" s="16">
        <v>45960.0</v>
      </c>
      <c r="C6" s="3">
        <v>85.0</v>
      </c>
      <c r="D6" s="3">
        <v>81.0</v>
      </c>
      <c r="E6" s="3" t="s">
        <v>185</v>
      </c>
      <c r="F6" s="3" t="s">
        <v>186</v>
      </c>
      <c r="G6" s="3" t="s">
        <v>187</v>
      </c>
      <c r="H6" s="3" t="s">
        <v>13</v>
      </c>
      <c r="I6" s="3" t="s">
        <v>13</v>
      </c>
      <c r="J6" s="3" t="s">
        <v>201</v>
      </c>
      <c r="K6" s="3" t="s">
        <v>202</v>
      </c>
      <c r="L6" s="3" t="s">
        <v>203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6" t="str">
        <f>Bio!A7</f>
        <v>Vince Long</v>
      </c>
      <c r="B7" s="16">
        <v>45958.0</v>
      </c>
      <c r="C7" s="3">
        <v>91.0</v>
      </c>
      <c r="D7" s="3">
        <v>86.0</v>
      </c>
      <c r="E7" s="3" t="s">
        <v>198</v>
      </c>
      <c r="F7" s="3" t="s">
        <v>185</v>
      </c>
      <c r="G7" s="3" t="s">
        <v>187</v>
      </c>
      <c r="H7" s="3" t="s">
        <v>191</v>
      </c>
      <c r="I7" s="3" t="s">
        <v>186</v>
      </c>
      <c r="J7" s="3" t="s">
        <v>204</v>
      </c>
      <c r="K7" s="3" t="s">
        <v>205</v>
      </c>
      <c r="L7" s="3" t="s">
        <v>206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3" t="str">
        <f>Bio!A8</f>
        <v>Noah Satine</v>
      </c>
      <c r="B8" s="16">
        <v>45955.0</v>
      </c>
      <c r="C8" s="3">
        <v>87.0</v>
      </c>
      <c r="D8" s="3">
        <v>84.0</v>
      </c>
      <c r="E8" s="3" t="s">
        <v>185</v>
      </c>
      <c r="F8" s="3" t="s">
        <v>186</v>
      </c>
      <c r="G8" s="3" t="s">
        <v>191</v>
      </c>
      <c r="H8" s="3" t="s">
        <v>187</v>
      </c>
      <c r="I8" s="3" t="s">
        <v>13</v>
      </c>
      <c r="J8" s="3" t="s">
        <v>207</v>
      </c>
      <c r="K8" s="3" t="s">
        <v>208</v>
      </c>
      <c r="L8" s="3" t="s">
        <v>209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6" t="str">
        <f>Bio!A9</f>
        <v>Ford Stratton</v>
      </c>
      <c r="B9" s="16">
        <v>45972.0</v>
      </c>
      <c r="C9" s="3">
        <v>81.0</v>
      </c>
      <c r="D9" s="3">
        <v>78.0</v>
      </c>
      <c r="E9" s="3" t="s">
        <v>185</v>
      </c>
      <c r="F9" s="3" t="s">
        <v>198</v>
      </c>
      <c r="G9" s="3" t="s">
        <v>210</v>
      </c>
      <c r="H9" s="3" t="s">
        <v>186</v>
      </c>
      <c r="I9" s="3" t="s">
        <v>13</v>
      </c>
      <c r="J9" s="3" t="s">
        <v>188</v>
      </c>
      <c r="K9" s="3" t="s">
        <v>211</v>
      </c>
      <c r="L9" s="3" t="s">
        <v>212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3" t="str">
        <f>Bio!A10</f>
        <v>Jack Snakenberg</v>
      </c>
      <c r="B10" s="16">
        <v>45962.0</v>
      </c>
      <c r="C10" s="3">
        <v>88.0</v>
      </c>
      <c r="D10" s="3">
        <v>85.0</v>
      </c>
      <c r="E10" s="3" t="s">
        <v>185</v>
      </c>
      <c r="F10" s="3" t="s">
        <v>198</v>
      </c>
      <c r="G10" s="3" t="s">
        <v>187</v>
      </c>
      <c r="H10" s="3" t="s">
        <v>191</v>
      </c>
      <c r="I10" s="3" t="s">
        <v>13</v>
      </c>
      <c r="J10" s="3" t="s">
        <v>201</v>
      </c>
      <c r="K10" s="3" t="s">
        <v>213</v>
      </c>
      <c r="L10" s="3" t="s">
        <v>214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6" t="str">
        <f>Bio!A11</f>
        <v>Koji Paul (Hitter)</v>
      </c>
      <c r="B11" s="3" t="s">
        <v>13</v>
      </c>
      <c r="C11" s="3" t="s">
        <v>13</v>
      </c>
      <c r="D11" s="3" t="s">
        <v>13</v>
      </c>
      <c r="E11" s="3" t="s">
        <v>13</v>
      </c>
      <c r="F11" s="3" t="s">
        <v>13</v>
      </c>
      <c r="G11" s="3" t="s">
        <v>13</v>
      </c>
      <c r="H11" s="3" t="s">
        <v>13</v>
      </c>
      <c r="I11" s="3" t="s">
        <v>13</v>
      </c>
      <c r="J11" s="3" t="s">
        <v>215</v>
      </c>
      <c r="K11" s="3" t="s">
        <v>216</v>
      </c>
      <c r="L11" s="3" t="s">
        <v>217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3" t="str">
        <f>Bio!A12</f>
        <v>Preston Steeno</v>
      </c>
      <c r="B12" s="16">
        <v>45966.0</v>
      </c>
      <c r="C12" s="3">
        <v>82.0</v>
      </c>
      <c r="D12" s="3">
        <v>74.0</v>
      </c>
      <c r="E12" s="3" t="s">
        <v>185</v>
      </c>
      <c r="F12" s="3" t="s">
        <v>187</v>
      </c>
      <c r="G12" s="3" t="s">
        <v>186</v>
      </c>
      <c r="H12" s="3" t="s">
        <v>191</v>
      </c>
      <c r="I12" s="3" t="s">
        <v>13</v>
      </c>
      <c r="J12" s="3" t="s">
        <v>218</v>
      </c>
      <c r="K12" s="3" t="s">
        <v>219</v>
      </c>
      <c r="L12" s="3" t="s">
        <v>220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6" t="str">
        <f>Bio!A13</f>
        <v>Andy Torres</v>
      </c>
      <c r="B13" s="16">
        <v>45966.0</v>
      </c>
      <c r="C13" s="3">
        <v>83.0</v>
      </c>
      <c r="D13" s="3">
        <v>80.0</v>
      </c>
      <c r="E13" s="3" t="s">
        <v>221</v>
      </c>
      <c r="F13" s="3" t="s">
        <v>191</v>
      </c>
      <c r="G13" s="3" t="s">
        <v>187</v>
      </c>
      <c r="H13" s="3" t="s">
        <v>13</v>
      </c>
      <c r="I13" s="3" t="s">
        <v>13</v>
      </c>
      <c r="J13" s="3" t="s">
        <v>222</v>
      </c>
      <c r="K13" s="3" t="s">
        <v>223</v>
      </c>
      <c r="L13" s="3" t="s">
        <v>224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3" t="str">
        <f>Bio!A14</f>
        <v>Mason Duncan</v>
      </c>
      <c r="B14" s="16">
        <v>46008.0</v>
      </c>
      <c r="C14" s="3">
        <v>92.0</v>
      </c>
      <c r="D14" s="3">
        <v>88.0</v>
      </c>
      <c r="E14" s="3" t="s">
        <v>185</v>
      </c>
      <c r="F14" s="3" t="s">
        <v>198</v>
      </c>
      <c r="G14" s="3" t="s">
        <v>186</v>
      </c>
      <c r="H14" s="3" t="s">
        <v>187</v>
      </c>
      <c r="I14" s="6"/>
      <c r="J14" s="3" t="s">
        <v>225</v>
      </c>
      <c r="K14" s="3" t="s">
        <v>226</v>
      </c>
      <c r="L14" s="3" t="s">
        <v>227</v>
      </c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6" t="str">
        <f>Bio!A15</f>
        <v>Donnie Hooten</v>
      </c>
      <c r="B15" s="16">
        <v>45992.0</v>
      </c>
      <c r="C15" s="3">
        <v>85.0</v>
      </c>
      <c r="D15" s="3">
        <v>82.0</v>
      </c>
      <c r="E15" s="3" t="s">
        <v>185</v>
      </c>
      <c r="F15" s="3" t="s">
        <v>186</v>
      </c>
      <c r="G15" s="3" t="s">
        <v>187</v>
      </c>
      <c r="H15" s="6"/>
      <c r="I15" s="6"/>
      <c r="J15" s="3" t="s">
        <v>228</v>
      </c>
      <c r="K15" s="3" t="s">
        <v>229</v>
      </c>
      <c r="L15" s="3" t="s">
        <v>230</v>
      </c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3" t="str">
        <f>Bio!A16</f>
        <v>Lucas Arnold</v>
      </c>
      <c r="B16" s="16">
        <v>46035.0</v>
      </c>
      <c r="C16" s="3">
        <v>83.0</v>
      </c>
      <c r="D16" s="3">
        <v>80.0</v>
      </c>
      <c r="E16" s="3" t="s">
        <v>185</v>
      </c>
      <c r="F16" s="3" t="s">
        <v>186</v>
      </c>
      <c r="G16" s="3" t="s">
        <v>187</v>
      </c>
      <c r="H16" s="3" t="s">
        <v>13</v>
      </c>
      <c r="I16" s="3" t="s">
        <v>13</v>
      </c>
      <c r="J16" s="3" t="s">
        <v>231</v>
      </c>
      <c r="K16" s="3" t="s">
        <v>232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6" t="str">
        <f>Bio!A17</f>
        <v>Blake Lyle</v>
      </c>
      <c r="B17" s="16">
        <v>46120.0</v>
      </c>
      <c r="C17" s="3">
        <v>88.0</v>
      </c>
      <c r="D17" s="3">
        <v>84.0</v>
      </c>
      <c r="E17" s="3" t="s">
        <v>185</v>
      </c>
      <c r="F17" s="3" t="s">
        <v>233</v>
      </c>
      <c r="G17" s="3" t="s">
        <v>186</v>
      </c>
      <c r="H17" s="3" t="s">
        <v>191</v>
      </c>
      <c r="I17" s="3" t="s">
        <v>187</v>
      </c>
      <c r="J17" s="3" t="s">
        <v>234</v>
      </c>
      <c r="K17" s="3" t="s">
        <v>235</v>
      </c>
      <c r="L17" s="3" t="s">
        <v>236</v>
      </c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3" t="str">
        <f>Bio!A18</f>
        <v>Caleb Hunter</v>
      </c>
      <c r="B18" s="6"/>
      <c r="C18" s="7">
        <v>72.0</v>
      </c>
      <c r="D18" s="17"/>
      <c r="E18" s="7" t="s">
        <v>221</v>
      </c>
      <c r="F18" s="7" t="s">
        <v>186</v>
      </c>
      <c r="G18" s="7" t="s">
        <v>191</v>
      </c>
      <c r="H18" s="7" t="s">
        <v>187</v>
      </c>
      <c r="I18" s="7" t="s">
        <v>13</v>
      </c>
      <c r="J18" s="7" t="s">
        <v>13</v>
      </c>
      <c r="K18" s="7" t="s">
        <v>13</v>
      </c>
      <c r="L18" s="7" t="s">
        <v>13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6" t="str">
        <f>Bio!A19</f>
        <v>Zander Zangoei</v>
      </c>
      <c r="B19" s="6"/>
      <c r="C19" s="7">
        <v>80.0</v>
      </c>
      <c r="D19" s="17"/>
      <c r="E19" s="7" t="s">
        <v>185</v>
      </c>
      <c r="F19" s="7" t="s">
        <v>198</v>
      </c>
      <c r="G19" s="7" t="s">
        <v>186</v>
      </c>
      <c r="H19" s="7" t="s">
        <v>187</v>
      </c>
      <c r="I19" s="7" t="s">
        <v>13</v>
      </c>
      <c r="J19" s="7" t="s">
        <v>195</v>
      </c>
      <c r="K19" s="7" t="s">
        <v>237</v>
      </c>
      <c r="L19" s="7" t="s">
        <v>238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3" t="str">
        <f>Bio!A20</f>
        <v>Blake Stewart</v>
      </c>
      <c r="B20" s="6"/>
      <c r="C20" s="7">
        <v>80.0</v>
      </c>
      <c r="D20" s="17"/>
      <c r="E20" s="7" t="s">
        <v>221</v>
      </c>
      <c r="F20" s="7" t="s">
        <v>187</v>
      </c>
      <c r="G20" s="7" t="s">
        <v>186</v>
      </c>
      <c r="H20" s="7" t="s">
        <v>13</v>
      </c>
      <c r="I20" s="7" t="s">
        <v>13</v>
      </c>
      <c r="J20" s="7" t="s">
        <v>239</v>
      </c>
      <c r="K20" s="7" t="s">
        <v>240</v>
      </c>
      <c r="L20" s="7" t="s">
        <v>241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6" t="str">
        <f>Bio!A21</f>
        <v>Matthew Siskowski</v>
      </c>
      <c r="B21" s="6"/>
      <c r="C21" s="7" t="s">
        <v>13</v>
      </c>
      <c r="D21" s="7" t="s">
        <v>13</v>
      </c>
      <c r="E21" s="7" t="s">
        <v>13</v>
      </c>
      <c r="F21" s="7" t="s">
        <v>13</v>
      </c>
      <c r="G21" s="7" t="s">
        <v>13</v>
      </c>
      <c r="H21" s="7" t="s">
        <v>13</v>
      </c>
      <c r="I21" s="7" t="s">
        <v>13</v>
      </c>
      <c r="J21" s="7" t="s">
        <v>242</v>
      </c>
      <c r="K21" s="7" t="s">
        <v>243</v>
      </c>
      <c r="L21" s="7" t="s">
        <v>13</v>
      </c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3" t="str">
        <f>Bio!A22</f>
        <v>Linkyn Fuller</v>
      </c>
      <c r="B22" s="16">
        <v>46151.0</v>
      </c>
      <c r="C22" s="3">
        <v>83.0</v>
      </c>
      <c r="D22" s="3" t="s">
        <v>13</v>
      </c>
      <c r="E22" s="3" t="s">
        <v>198</v>
      </c>
      <c r="F22" s="3" t="s">
        <v>186</v>
      </c>
      <c r="G22" s="3" t="s">
        <v>191</v>
      </c>
      <c r="H22" s="3" t="s">
        <v>187</v>
      </c>
      <c r="I22" s="3" t="s">
        <v>244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6" t="str">
        <f>Bio!A23</f>
        <v/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3" t="str">
        <f>Bio!A24</f>
        <v/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6" t="str">
        <f>Bio!A25</f>
        <v/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3" t="str">
        <f>Bio!A26</f>
        <v/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6" t="str">
        <f>Bio!A27</f>
        <v/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3" t="str">
        <f>Bio!A28</f>
        <v/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6" t="str">
        <f>Bio!A29</f>
        <v/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3" t="str">
        <f>Bio!A30</f>
        <v/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6" t="str">
        <f>Bio!A31</f>
        <v/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3" t="str">
        <f>Bio!A32</f>
        <v/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6" t="str">
        <f>Bio!A33</f>
        <v/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3" t="str">
        <f>Bio!A34</f>
        <v/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6" t="str">
        <f>Bio!A35</f>
        <v/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3" t="str">
        <f>Bio!A36</f>
        <v/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6" t="str">
        <f>Bio!A37</f>
        <v/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3" t="str">
        <f>Bio!A38</f>
        <v/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6" t="str">
        <f>Bio!A39</f>
        <v/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3" t="str">
        <f>Bio!A40</f>
        <v/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6" t="str">
        <f>Bio!A41</f>
        <v/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3" t="str">
        <f>Bio!A42</f>
        <v/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6" t="str">
        <f>Bio!A43</f>
        <v/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3" t="str">
        <f>Bio!A44</f>
        <v/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</cols>
  <sheetData>
    <row r="1">
      <c r="A1" s="3" t="s">
        <v>119</v>
      </c>
      <c r="B1" s="3" t="s">
        <v>174</v>
      </c>
      <c r="C1" s="3" t="s">
        <v>245</v>
      </c>
      <c r="D1" s="3" t="s">
        <v>246</v>
      </c>
      <c r="E1" s="3" t="s">
        <v>247</v>
      </c>
      <c r="F1" s="3" t="s">
        <v>248</v>
      </c>
      <c r="G1" s="3" t="s">
        <v>249</v>
      </c>
      <c r="H1" s="18" t="s">
        <v>250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>
      <c r="A2" s="3" t="str">
        <f>Bio!A2</f>
        <v>Matthew Heredia</v>
      </c>
      <c r="B2" s="3" t="s">
        <v>13</v>
      </c>
      <c r="C2" s="3" t="s">
        <v>13</v>
      </c>
      <c r="D2" s="3" t="s">
        <v>13</v>
      </c>
      <c r="E2" s="3" t="s">
        <v>13</v>
      </c>
      <c r="F2" s="3" t="s">
        <v>13</v>
      </c>
      <c r="G2" s="3" t="s">
        <v>13</v>
      </c>
      <c r="H2" s="18" t="s">
        <v>13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6" t="str">
        <f>Bio!A3</f>
        <v>Jason Drew</v>
      </c>
      <c r="B3" s="16">
        <v>46090.0</v>
      </c>
      <c r="C3" s="3">
        <v>165.0</v>
      </c>
      <c r="D3" s="3">
        <v>35.9</v>
      </c>
      <c r="E3" s="3">
        <v>32.8</v>
      </c>
      <c r="F3" s="3">
        <v>26.2</v>
      </c>
      <c r="G3" s="3">
        <v>31.3</v>
      </c>
      <c r="H3" s="19">
        <f t="shared" ref="H3:H27" si="1">((sum(D3:G3)/C3)*100)</f>
        <v>76.48484848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6" t="str">
        <f>Bio!A4</f>
        <v>Josh Jacob</v>
      </c>
      <c r="B4" s="16">
        <v>46048.0</v>
      </c>
      <c r="C4" s="3">
        <v>150.0</v>
      </c>
      <c r="D4" s="3">
        <v>47.6</v>
      </c>
      <c r="E4" s="3">
        <v>34.8</v>
      </c>
      <c r="F4" s="3">
        <v>31.4</v>
      </c>
      <c r="G4" s="3">
        <v>37.9</v>
      </c>
      <c r="H4" s="19">
        <f t="shared" si="1"/>
        <v>101.1333333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6" t="str">
        <f>Bio!A5</f>
        <v>Collin Vaughan</v>
      </c>
      <c r="B5" s="16">
        <v>46055.0</v>
      </c>
      <c r="C5" s="3">
        <v>190.0</v>
      </c>
      <c r="D5" s="3">
        <v>51.3</v>
      </c>
      <c r="E5" s="3">
        <v>46.1</v>
      </c>
      <c r="F5" s="3">
        <v>31.6</v>
      </c>
      <c r="G5" s="3">
        <v>52.4</v>
      </c>
      <c r="H5" s="19">
        <f t="shared" si="1"/>
        <v>95.47368421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6" t="str">
        <f>Bio!A6</f>
        <v>Harrison Coneway</v>
      </c>
      <c r="B6" s="16">
        <v>46008.0</v>
      </c>
      <c r="C6" s="3">
        <v>170.0</v>
      </c>
      <c r="D6" s="3">
        <v>43.8</v>
      </c>
      <c r="E6" s="3">
        <v>29.5</v>
      </c>
      <c r="F6" s="3">
        <v>28.5</v>
      </c>
      <c r="G6" s="3">
        <v>35.7</v>
      </c>
      <c r="H6" s="19">
        <f t="shared" si="1"/>
        <v>80.88235294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6" t="str">
        <f>Bio!A7</f>
        <v>Vince Long</v>
      </c>
      <c r="B7" s="16">
        <v>46000.0</v>
      </c>
      <c r="C7" s="3">
        <v>195.0</v>
      </c>
      <c r="D7" s="3">
        <v>55.0</v>
      </c>
      <c r="E7" s="3">
        <v>44.0</v>
      </c>
      <c r="F7" s="3">
        <v>30.6</v>
      </c>
      <c r="G7" s="3">
        <v>34.8</v>
      </c>
      <c r="H7" s="19">
        <f t="shared" si="1"/>
        <v>84.30769231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6" t="str">
        <f>Bio!A8</f>
        <v>Noah Satine</v>
      </c>
      <c r="B8" s="16">
        <v>45955.0</v>
      </c>
      <c r="C8" s="3">
        <v>167.0</v>
      </c>
      <c r="D8" s="3">
        <v>45.5</v>
      </c>
      <c r="E8" s="3">
        <v>39.6</v>
      </c>
      <c r="F8" s="3">
        <v>30.8</v>
      </c>
      <c r="G8" s="3">
        <v>44.0</v>
      </c>
      <c r="H8" s="19">
        <f t="shared" si="1"/>
        <v>95.74850299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6" t="str">
        <f>Bio!A9</f>
        <v>Ford Stratton</v>
      </c>
      <c r="B9" s="16">
        <v>45972.0</v>
      </c>
      <c r="C9" s="3">
        <v>180.0</v>
      </c>
      <c r="D9" s="3">
        <v>37.1</v>
      </c>
      <c r="E9" s="3">
        <v>29.9</v>
      </c>
      <c r="F9" s="3">
        <v>20.5</v>
      </c>
      <c r="G9" s="3">
        <v>27.6</v>
      </c>
      <c r="H9" s="19">
        <f t="shared" si="1"/>
        <v>63.94444444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6" t="str">
        <f>Bio!A10</f>
        <v>Jack Snakenberg</v>
      </c>
      <c r="B10" s="16">
        <v>45962.0</v>
      </c>
      <c r="C10" s="3">
        <v>210.0</v>
      </c>
      <c r="D10" s="3">
        <v>62.0</v>
      </c>
      <c r="E10" s="3">
        <v>40.0</v>
      </c>
      <c r="F10" s="3">
        <v>32.7</v>
      </c>
      <c r="G10" s="3">
        <v>36.5</v>
      </c>
      <c r="H10" s="19">
        <f t="shared" si="1"/>
        <v>81.52380952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6" t="str">
        <f>Bio!A11</f>
        <v>Koji Paul (Hitter)</v>
      </c>
      <c r="B11" s="3" t="s">
        <v>13</v>
      </c>
      <c r="C11" s="3" t="s">
        <v>13</v>
      </c>
      <c r="D11" s="3" t="s">
        <v>13</v>
      </c>
      <c r="E11" s="3" t="s">
        <v>13</v>
      </c>
      <c r="F11" s="3" t="s">
        <v>13</v>
      </c>
      <c r="G11" s="3" t="s">
        <v>13</v>
      </c>
      <c r="H11" s="19" t="str">
        <f t="shared" si="1"/>
        <v>#VALUE!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6" t="str">
        <f>Bio!A12</f>
        <v>Preston Steeno</v>
      </c>
      <c r="B12" s="3" t="s">
        <v>13</v>
      </c>
      <c r="C12" s="3" t="s">
        <v>13</v>
      </c>
      <c r="D12" s="3" t="s">
        <v>13</v>
      </c>
      <c r="E12" s="3" t="s">
        <v>13</v>
      </c>
      <c r="F12" s="3" t="s">
        <v>13</v>
      </c>
      <c r="G12" s="3" t="s">
        <v>13</v>
      </c>
      <c r="H12" s="19" t="str">
        <f t="shared" si="1"/>
        <v>#VALUE!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6" t="str">
        <f>Bio!A13</f>
        <v>Andy Torres</v>
      </c>
      <c r="B13" s="16">
        <v>46000.0</v>
      </c>
      <c r="C13" s="3">
        <v>166.0</v>
      </c>
      <c r="D13" s="3">
        <v>33.0</v>
      </c>
      <c r="E13" s="3">
        <v>30.0</v>
      </c>
      <c r="F13" s="3">
        <v>31.0</v>
      </c>
      <c r="G13" s="3">
        <v>37.0</v>
      </c>
      <c r="H13" s="19">
        <f t="shared" si="1"/>
        <v>78.91566265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6" t="str">
        <f>Bio!A14</f>
        <v>Mason Duncan</v>
      </c>
      <c r="B14" s="3" t="s">
        <v>13</v>
      </c>
      <c r="C14" s="3" t="s">
        <v>13</v>
      </c>
      <c r="D14" s="3" t="s">
        <v>13</v>
      </c>
      <c r="E14" s="3" t="s">
        <v>13</v>
      </c>
      <c r="F14" s="3" t="s">
        <v>13</v>
      </c>
      <c r="G14" s="3" t="s">
        <v>13</v>
      </c>
      <c r="H14" s="19" t="str">
        <f t="shared" si="1"/>
        <v>#VALUE!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6" t="str">
        <f>Bio!A15</f>
        <v>Donnie Hooten</v>
      </c>
      <c r="B15" s="3" t="s">
        <v>13</v>
      </c>
      <c r="C15" s="3" t="s">
        <v>13</v>
      </c>
      <c r="D15" s="3" t="s">
        <v>13</v>
      </c>
      <c r="E15" s="3" t="s">
        <v>13</v>
      </c>
      <c r="F15" s="3" t="s">
        <v>13</v>
      </c>
      <c r="G15" s="3" t="s">
        <v>13</v>
      </c>
      <c r="H15" s="19" t="str">
        <f t="shared" si="1"/>
        <v>#VALUE!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6" t="str">
        <f>Bio!A16</f>
        <v>Lucas Arnold</v>
      </c>
      <c r="B16" s="16">
        <v>46021.0</v>
      </c>
      <c r="C16" s="3">
        <v>184.0</v>
      </c>
      <c r="D16" s="3">
        <v>46.3</v>
      </c>
      <c r="E16" s="3">
        <v>46.9</v>
      </c>
      <c r="F16" s="3">
        <v>33.0</v>
      </c>
      <c r="G16" s="3">
        <v>31.1</v>
      </c>
      <c r="H16" s="19">
        <f t="shared" si="1"/>
        <v>85.48913043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6" t="str">
        <f>Bio!A17</f>
        <v>Blake Lyle</v>
      </c>
      <c r="B17" s="16">
        <v>46120.0</v>
      </c>
      <c r="C17" s="3">
        <v>150.0</v>
      </c>
      <c r="D17" s="3">
        <v>31.8</v>
      </c>
      <c r="E17" s="3">
        <v>27.0</v>
      </c>
      <c r="F17" s="3">
        <v>23.0</v>
      </c>
      <c r="G17" s="3">
        <v>25.0</v>
      </c>
      <c r="H17" s="19">
        <f t="shared" si="1"/>
        <v>71.2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6" t="str">
        <f>Bio!A18</f>
        <v>Caleb Hunter</v>
      </c>
      <c r="B18" s="16">
        <v>46143.0</v>
      </c>
      <c r="C18" s="7">
        <v>142.0</v>
      </c>
      <c r="D18" s="7">
        <v>24.8</v>
      </c>
      <c r="E18" s="7">
        <v>33.9</v>
      </c>
      <c r="F18" s="7">
        <v>26.0</v>
      </c>
      <c r="G18" s="7">
        <v>23.1</v>
      </c>
      <c r="H18" s="19">
        <f t="shared" si="1"/>
        <v>75.91549296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6" t="str">
        <f>Bio!A19</f>
        <v>Zander Zangoei</v>
      </c>
      <c r="B19" s="6"/>
      <c r="C19" s="7" t="s">
        <v>13</v>
      </c>
      <c r="D19" s="7" t="s">
        <v>13</v>
      </c>
      <c r="E19" s="7" t="s">
        <v>13</v>
      </c>
      <c r="F19" s="7" t="s">
        <v>13</v>
      </c>
      <c r="G19" s="7" t="s">
        <v>13</v>
      </c>
      <c r="H19" s="19" t="str">
        <f t="shared" si="1"/>
        <v>#VALUE!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6" t="str">
        <f>Bio!A20</f>
        <v>Blake Stewart</v>
      </c>
      <c r="B20" s="6"/>
      <c r="C20" s="7" t="s">
        <v>13</v>
      </c>
      <c r="D20" s="7" t="s">
        <v>13</v>
      </c>
      <c r="E20" s="7" t="s">
        <v>13</v>
      </c>
      <c r="F20" s="7" t="s">
        <v>13</v>
      </c>
      <c r="G20" s="7" t="s">
        <v>13</v>
      </c>
      <c r="H20" s="19" t="str">
        <f t="shared" si="1"/>
        <v>#VALUE!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6" t="str">
        <f>Bio!A21</f>
        <v>Matthew Siskowski</v>
      </c>
      <c r="B21" s="16">
        <v>46143.0</v>
      </c>
      <c r="C21" s="7">
        <v>159.0</v>
      </c>
      <c r="D21" s="7">
        <v>43.1</v>
      </c>
      <c r="E21" s="7">
        <v>42.2</v>
      </c>
      <c r="F21" s="7">
        <v>28.4</v>
      </c>
      <c r="G21" s="7">
        <v>29.4</v>
      </c>
      <c r="H21" s="19">
        <f t="shared" si="1"/>
        <v>90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6" t="str">
        <f>Bio!A22</f>
        <v>Linkyn Fuller</v>
      </c>
      <c r="B22" s="16">
        <v>46151.0</v>
      </c>
      <c r="C22" s="3">
        <v>156.0</v>
      </c>
      <c r="D22" s="3" t="s">
        <v>13</v>
      </c>
      <c r="E22" s="3" t="s">
        <v>13</v>
      </c>
      <c r="F22" s="3" t="s">
        <v>13</v>
      </c>
      <c r="G22" s="3" t="s">
        <v>13</v>
      </c>
      <c r="H22" s="19">
        <f t="shared" si="1"/>
        <v>0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6" t="str">
        <f>Bio!A23</f>
        <v/>
      </c>
      <c r="B23" s="6"/>
      <c r="C23" s="6"/>
      <c r="D23" s="6"/>
      <c r="E23" s="6"/>
      <c r="F23" s="6"/>
      <c r="G23" s="6"/>
      <c r="H23" s="19" t="str">
        <f t="shared" si="1"/>
        <v>#DIV/0!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6" t="str">
        <f>Bio!A24</f>
        <v/>
      </c>
      <c r="B24" s="6"/>
      <c r="C24" s="6"/>
      <c r="D24" s="6"/>
      <c r="E24" s="6"/>
      <c r="F24" s="6"/>
      <c r="G24" s="6"/>
      <c r="H24" s="19" t="str">
        <f t="shared" si="1"/>
        <v>#DIV/0!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6" t="str">
        <f>Bio!A25</f>
        <v/>
      </c>
      <c r="B25" s="6"/>
      <c r="C25" s="6"/>
      <c r="D25" s="6"/>
      <c r="E25" s="6"/>
      <c r="F25" s="6"/>
      <c r="G25" s="6"/>
      <c r="H25" s="19" t="str">
        <f t="shared" si="1"/>
        <v>#DIV/0!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6" t="str">
        <f>Bio!A26</f>
        <v/>
      </c>
      <c r="B26" s="6"/>
      <c r="C26" s="6"/>
      <c r="D26" s="6"/>
      <c r="E26" s="6"/>
      <c r="F26" s="6"/>
      <c r="G26" s="6"/>
      <c r="H26" s="19" t="str">
        <f t="shared" si="1"/>
        <v>#DIV/0!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6" t="str">
        <f>Bio!A27</f>
        <v/>
      </c>
      <c r="B27" s="6"/>
      <c r="C27" s="6"/>
      <c r="D27" s="6"/>
      <c r="E27" s="6"/>
      <c r="F27" s="6"/>
      <c r="G27" s="6"/>
      <c r="H27" s="19" t="str">
        <f t="shared" si="1"/>
        <v>#DIV/0!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6" t="str">
        <f>Bio!A28</f>
        <v/>
      </c>
      <c r="B28" s="6"/>
      <c r="C28" s="6"/>
      <c r="D28" s="6"/>
      <c r="E28" s="6"/>
      <c r="F28" s="6"/>
      <c r="G28" s="6"/>
      <c r="H28" s="19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6"/>
      <c r="B29" s="6"/>
      <c r="C29" s="6"/>
      <c r="D29" s="6"/>
      <c r="E29" s="6"/>
      <c r="F29" s="6"/>
      <c r="G29" s="6"/>
      <c r="H29" s="19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6"/>
      <c r="B30" s="6"/>
      <c r="C30" s="6"/>
      <c r="D30" s="6"/>
      <c r="E30" s="6"/>
      <c r="F30" s="6"/>
      <c r="G30" s="6"/>
      <c r="H30" s="19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6"/>
      <c r="B31" s="6"/>
      <c r="C31" s="6"/>
      <c r="D31" s="6"/>
      <c r="E31" s="6"/>
      <c r="F31" s="6"/>
      <c r="G31" s="6"/>
      <c r="H31" s="19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6"/>
      <c r="B32" s="6"/>
      <c r="C32" s="6"/>
      <c r="D32" s="6"/>
      <c r="E32" s="6"/>
      <c r="F32" s="6"/>
      <c r="G32" s="6"/>
      <c r="H32" s="19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6"/>
      <c r="B33" s="6"/>
      <c r="C33" s="6"/>
      <c r="D33" s="6"/>
      <c r="E33" s="6"/>
      <c r="F33" s="6"/>
      <c r="G33" s="6"/>
      <c r="H33" s="19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6"/>
      <c r="B34" s="6"/>
      <c r="C34" s="6"/>
      <c r="D34" s="6"/>
      <c r="E34" s="6"/>
      <c r="F34" s="6"/>
      <c r="G34" s="6"/>
      <c r="H34" s="19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6"/>
      <c r="B35" s="6"/>
      <c r="C35" s="6"/>
      <c r="D35" s="6"/>
      <c r="E35" s="6"/>
      <c r="F35" s="6"/>
      <c r="G35" s="6"/>
      <c r="H35" s="19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6"/>
      <c r="B36" s="6"/>
      <c r="C36" s="6"/>
      <c r="D36" s="6"/>
      <c r="E36" s="6"/>
      <c r="F36" s="6"/>
      <c r="G36" s="6"/>
      <c r="H36" s="19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6"/>
      <c r="B37" s="6"/>
      <c r="C37" s="6"/>
      <c r="D37" s="6"/>
      <c r="E37" s="6"/>
      <c r="F37" s="6"/>
      <c r="G37" s="6"/>
      <c r="H37" s="19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6"/>
      <c r="B38" s="6"/>
      <c r="C38" s="6"/>
      <c r="D38" s="6"/>
      <c r="E38" s="6"/>
      <c r="F38" s="6"/>
      <c r="G38" s="6"/>
      <c r="H38" s="19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6"/>
      <c r="B39" s="6"/>
      <c r="C39" s="6"/>
      <c r="D39" s="6"/>
      <c r="E39" s="6"/>
      <c r="F39" s="6"/>
      <c r="G39" s="6"/>
      <c r="H39" s="19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6"/>
      <c r="B40" s="6"/>
      <c r="C40" s="6"/>
      <c r="D40" s="6"/>
      <c r="E40" s="6"/>
      <c r="F40" s="6"/>
      <c r="G40" s="6"/>
      <c r="H40" s="19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6"/>
      <c r="B41" s="6"/>
      <c r="C41" s="6"/>
      <c r="D41" s="6"/>
      <c r="E41" s="6"/>
      <c r="F41" s="6"/>
      <c r="G41" s="6"/>
      <c r="H41" s="19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6"/>
      <c r="B42" s="6"/>
      <c r="C42" s="6"/>
      <c r="D42" s="6"/>
      <c r="E42" s="6"/>
      <c r="F42" s="6"/>
      <c r="G42" s="6"/>
      <c r="H42" s="19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6"/>
      <c r="B43" s="6"/>
      <c r="C43" s="6"/>
      <c r="D43" s="6"/>
      <c r="E43" s="6"/>
      <c r="F43" s="6"/>
      <c r="G43" s="6"/>
      <c r="H43" s="19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6"/>
      <c r="B44" s="6"/>
      <c r="C44" s="6"/>
      <c r="D44" s="6"/>
      <c r="E44" s="6"/>
      <c r="F44" s="6"/>
      <c r="G44" s="6"/>
      <c r="H44" s="19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6"/>
      <c r="B45" s="6"/>
      <c r="C45" s="6"/>
      <c r="D45" s="6"/>
      <c r="E45" s="6"/>
      <c r="F45" s="6"/>
      <c r="G45" s="6"/>
      <c r="H45" s="19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6"/>
      <c r="B46" s="6"/>
      <c r="C46" s="6"/>
      <c r="D46" s="6"/>
      <c r="E46" s="6"/>
      <c r="F46" s="6"/>
      <c r="G46" s="6"/>
      <c r="H46" s="19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6"/>
      <c r="B47" s="6"/>
      <c r="C47" s="6"/>
      <c r="D47" s="6"/>
      <c r="E47" s="6"/>
      <c r="F47" s="6"/>
      <c r="G47" s="6"/>
      <c r="H47" s="19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6"/>
      <c r="B48" s="6"/>
      <c r="C48" s="6"/>
      <c r="D48" s="6"/>
      <c r="E48" s="6"/>
      <c r="F48" s="6"/>
      <c r="G48" s="6"/>
      <c r="H48" s="19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6"/>
      <c r="B49" s="6"/>
      <c r="C49" s="6"/>
      <c r="D49" s="6"/>
      <c r="E49" s="6"/>
      <c r="F49" s="6"/>
      <c r="G49" s="6"/>
      <c r="H49" s="19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6"/>
      <c r="B50" s="6"/>
      <c r="C50" s="6"/>
      <c r="D50" s="6"/>
      <c r="E50" s="6"/>
      <c r="F50" s="6"/>
      <c r="G50" s="6"/>
      <c r="H50" s="19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6"/>
      <c r="B51" s="6"/>
      <c r="C51" s="6"/>
      <c r="D51" s="6"/>
      <c r="E51" s="6"/>
      <c r="F51" s="6"/>
      <c r="G51" s="6"/>
      <c r="H51" s="19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6"/>
      <c r="B52" s="6"/>
      <c r="C52" s="6"/>
      <c r="D52" s="6"/>
      <c r="E52" s="6"/>
      <c r="F52" s="6"/>
      <c r="G52" s="6"/>
      <c r="H52" s="19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6"/>
      <c r="B53" s="6"/>
      <c r="C53" s="6"/>
      <c r="D53" s="6"/>
      <c r="E53" s="6"/>
      <c r="F53" s="6"/>
      <c r="G53" s="6"/>
      <c r="H53" s="19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6"/>
      <c r="B54" s="6"/>
      <c r="C54" s="6"/>
      <c r="D54" s="6"/>
      <c r="E54" s="6"/>
      <c r="F54" s="6"/>
      <c r="G54" s="6"/>
      <c r="H54" s="19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6"/>
      <c r="B55" s="6"/>
      <c r="C55" s="6"/>
      <c r="D55" s="6"/>
      <c r="E55" s="6"/>
      <c r="F55" s="6"/>
      <c r="G55" s="6"/>
      <c r="H55" s="19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6"/>
      <c r="B56" s="6"/>
      <c r="C56" s="6"/>
      <c r="D56" s="6"/>
      <c r="E56" s="6"/>
      <c r="F56" s="6"/>
      <c r="G56" s="6"/>
      <c r="H56" s="19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6"/>
      <c r="B57" s="6"/>
      <c r="C57" s="6"/>
      <c r="D57" s="6"/>
      <c r="E57" s="6"/>
      <c r="F57" s="6"/>
      <c r="G57" s="6"/>
      <c r="H57" s="19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6"/>
      <c r="B58" s="6"/>
      <c r="C58" s="6"/>
      <c r="D58" s="6"/>
      <c r="E58" s="6"/>
      <c r="F58" s="6"/>
      <c r="G58" s="6"/>
      <c r="H58" s="19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6"/>
      <c r="B59" s="6"/>
      <c r="C59" s="6"/>
      <c r="D59" s="6"/>
      <c r="E59" s="6"/>
      <c r="F59" s="6"/>
      <c r="G59" s="6"/>
      <c r="H59" s="19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6"/>
      <c r="B60" s="6"/>
      <c r="C60" s="6"/>
      <c r="D60" s="6"/>
      <c r="E60" s="6"/>
      <c r="F60" s="6"/>
      <c r="G60" s="6"/>
      <c r="H60" s="19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6"/>
      <c r="B61" s="6"/>
      <c r="C61" s="6"/>
      <c r="D61" s="6"/>
      <c r="E61" s="6"/>
      <c r="F61" s="6"/>
      <c r="G61" s="6"/>
      <c r="H61" s="19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6"/>
      <c r="B62" s="6"/>
      <c r="C62" s="6"/>
      <c r="D62" s="6"/>
      <c r="E62" s="6"/>
      <c r="F62" s="6"/>
      <c r="G62" s="6"/>
      <c r="H62" s="19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6"/>
      <c r="B63" s="6"/>
      <c r="C63" s="6"/>
      <c r="D63" s="6"/>
      <c r="E63" s="6"/>
      <c r="F63" s="6"/>
      <c r="G63" s="6"/>
      <c r="H63" s="19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6"/>
      <c r="B64" s="6"/>
      <c r="C64" s="6"/>
      <c r="D64" s="6"/>
      <c r="E64" s="6"/>
      <c r="F64" s="6"/>
      <c r="G64" s="6"/>
      <c r="H64" s="19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6"/>
      <c r="B65" s="6"/>
      <c r="C65" s="6"/>
      <c r="D65" s="6"/>
      <c r="E65" s="6"/>
      <c r="F65" s="6"/>
      <c r="G65" s="6"/>
      <c r="H65" s="19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6"/>
      <c r="B66" s="6"/>
      <c r="C66" s="6"/>
      <c r="D66" s="6"/>
      <c r="E66" s="6"/>
      <c r="F66" s="6"/>
      <c r="G66" s="6"/>
      <c r="H66" s="19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6"/>
      <c r="B67" s="6"/>
      <c r="C67" s="6"/>
      <c r="D67" s="6"/>
      <c r="E67" s="6"/>
      <c r="F67" s="6"/>
      <c r="G67" s="6"/>
      <c r="H67" s="19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6"/>
      <c r="B68" s="6"/>
      <c r="C68" s="6"/>
      <c r="D68" s="6"/>
      <c r="E68" s="6"/>
      <c r="F68" s="6"/>
      <c r="G68" s="6"/>
      <c r="H68" s="19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6"/>
      <c r="B69" s="6"/>
      <c r="C69" s="6"/>
      <c r="D69" s="6"/>
      <c r="E69" s="6"/>
      <c r="F69" s="6"/>
      <c r="G69" s="6"/>
      <c r="H69" s="19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6"/>
      <c r="B70" s="6"/>
      <c r="C70" s="6"/>
      <c r="D70" s="6"/>
      <c r="E70" s="6"/>
      <c r="F70" s="6"/>
      <c r="G70" s="6"/>
      <c r="H70" s="19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6"/>
      <c r="B71" s="6"/>
      <c r="C71" s="6"/>
      <c r="D71" s="6"/>
      <c r="E71" s="6"/>
      <c r="F71" s="6"/>
      <c r="G71" s="6"/>
      <c r="H71" s="19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6"/>
      <c r="B72" s="6"/>
      <c r="C72" s="6"/>
      <c r="D72" s="6"/>
      <c r="E72" s="6"/>
      <c r="F72" s="6"/>
      <c r="G72" s="6"/>
      <c r="H72" s="19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6"/>
      <c r="B73" s="6"/>
      <c r="C73" s="6"/>
      <c r="D73" s="6"/>
      <c r="E73" s="6"/>
      <c r="F73" s="6"/>
      <c r="G73" s="6"/>
      <c r="H73" s="19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6"/>
      <c r="B74" s="6"/>
      <c r="C74" s="6"/>
      <c r="D74" s="6"/>
      <c r="E74" s="6"/>
      <c r="F74" s="6"/>
      <c r="G74" s="6"/>
      <c r="H74" s="19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6"/>
      <c r="B75" s="6"/>
      <c r="C75" s="6"/>
      <c r="D75" s="6"/>
      <c r="E75" s="6"/>
      <c r="F75" s="6"/>
      <c r="G75" s="6"/>
      <c r="H75" s="19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6"/>
      <c r="B76" s="6"/>
      <c r="C76" s="6"/>
      <c r="D76" s="6"/>
      <c r="E76" s="6"/>
      <c r="F76" s="6"/>
      <c r="G76" s="6"/>
      <c r="H76" s="19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6"/>
      <c r="B77" s="6"/>
      <c r="C77" s="6"/>
      <c r="D77" s="6"/>
      <c r="E77" s="6"/>
      <c r="F77" s="6"/>
      <c r="G77" s="6"/>
      <c r="H77" s="19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6"/>
      <c r="B78" s="6"/>
      <c r="C78" s="6"/>
      <c r="D78" s="6"/>
      <c r="E78" s="6"/>
      <c r="F78" s="6"/>
      <c r="G78" s="6"/>
      <c r="H78" s="19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6"/>
      <c r="B79" s="6"/>
      <c r="C79" s="6"/>
      <c r="D79" s="6"/>
      <c r="E79" s="6"/>
      <c r="F79" s="6"/>
      <c r="G79" s="6"/>
      <c r="H79" s="19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6"/>
      <c r="B80" s="6"/>
      <c r="C80" s="6"/>
      <c r="D80" s="6"/>
      <c r="E80" s="6"/>
      <c r="F80" s="6"/>
      <c r="G80" s="6"/>
      <c r="H80" s="19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6"/>
      <c r="B81" s="6"/>
      <c r="C81" s="6"/>
      <c r="D81" s="6"/>
      <c r="E81" s="6"/>
      <c r="F81" s="6"/>
      <c r="G81" s="6"/>
      <c r="H81" s="19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6"/>
      <c r="B82" s="6"/>
      <c r="C82" s="6"/>
      <c r="D82" s="6"/>
      <c r="E82" s="6"/>
      <c r="F82" s="6"/>
      <c r="G82" s="6"/>
      <c r="H82" s="19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6"/>
      <c r="B83" s="6"/>
      <c r="C83" s="6"/>
      <c r="D83" s="6"/>
      <c r="E83" s="6"/>
      <c r="F83" s="6"/>
      <c r="G83" s="6"/>
      <c r="H83" s="19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6"/>
      <c r="B84" s="6"/>
      <c r="C84" s="6"/>
      <c r="D84" s="6"/>
      <c r="E84" s="6"/>
      <c r="F84" s="6"/>
      <c r="G84" s="6"/>
      <c r="H84" s="19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6"/>
      <c r="B85" s="6"/>
      <c r="C85" s="6"/>
      <c r="D85" s="6"/>
      <c r="E85" s="6"/>
      <c r="F85" s="6"/>
      <c r="G85" s="6"/>
      <c r="H85" s="19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6"/>
      <c r="B86" s="6"/>
      <c r="C86" s="6"/>
      <c r="D86" s="6"/>
      <c r="E86" s="6"/>
      <c r="F86" s="6"/>
      <c r="G86" s="6"/>
      <c r="H86" s="19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6"/>
      <c r="B87" s="6"/>
      <c r="C87" s="6"/>
      <c r="D87" s="6"/>
      <c r="E87" s="6"/>
      <c r="F87" s="6"/>
      <c r="G87" s="6"/>
      <c r="H87" s="19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6"/>
      <c r="B88" s="6"/>
      <c r="C88" s="6"/>
      <c r="D88" s="6"/>
      <c r="E88" s="6"/>
      <c r="F88" s="6"/>
      <c r="G88" s="6"/>
      <c r="H88" s="19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6"/>
      <c r="B89" s="6"/>
      <c r="C89" s="6"/>
      <c r="D89" s="6"/>
      <c r="E89" s="6"/>
      <c r="F89" s="6"/>
      <c r="G89" s="6"/>
      <c r="H89" s="19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6"/>
      <c r="B90" s="6"/>
      <c r="C90" s="6"/>
      <c r="D90" s="6"/>
      <c r="E90" s="6"/>
      <c r="F90" s="6"/>
      <c r="G90" s="6"/>
      <c r="H90" s="19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6"/>
      <c r="B91" s="6"/>
      <c r="C91" s="6"/>
      <c r="D91" s="6"/>
      <c r="E91" s="6"/>
      <c r="F91" s="6"/>
      <c r="G91" s="6"/>
      <c r="H91" s="19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"/>
      <c r="B92" s="6"/>
      <c r="C92" s="6"/>
      <c r="D92" s="6"/>
      <c r="E92" s="6"/>
      <c r="F92" s="6"/>
      <c r="G92" s="6"/>
      <c r="H92" s="19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6"/>
      <c r="B93" s="6"/>
      <c r="C93" s="6"/>
      <c r="D93" s="6"/>
      <c r="E93" s="6"/>
      <c r="F93" s="6"/>
      <c r="G93" s="6"/>
      <c r="H93" s="19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6"/>
      <c r="B94" s="6"/>
      <c r="C94" s="6"/>
      <c r="D94" s="6"/>
      <c r="E94" s="6"/>
      <c r="F94" s="6"/>
      <c r="G94" s="6"/>
      <c r="H94" s="19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6"/>
      <c r="B95" s="6"/>
      <c r="C95" s="6"/>
      <c r="D95" s="6"/>
      <c r="E95" s="6"/>
      <c r="F95" s="6"/>
      <c r="G95" s="6"/>
      <c r="H95" s="19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6"/>
      <c r="B96" s="6"/>
      <c r="C96" s="6"/>
      <c r="D96" s="6"/>
      <c r="E96" s="6"/>
      <c r="F96" s="6"/>
      <c r="G96" s="6"/>
      <c r="H96" s="19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6"/>
      <c r="B97" s="6"/>
      <c r="C97" s="6"/>
      <c r="D97" s="6"/>
      <c r="E97" s="6"/>
      <c r="F97" s="6"/>
      <c r="G97" s="6"/>
      <c r="H97" s="19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6"/>
      <c r="B98" s="6"/>
      <c r="C98" s="6"/>
      <c r="D98" s="6"/>
      <c r="E98" s="6"/>
      <c r="F98" s="6"/>
      <c r="G98" s="6"/>
      <c r="H98" s="19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6"/>
      <c r="B99" s="6"/>
      <c r="C99" s="6"/>
      <c r="D99" s="6"/>
      <c r="E99" s="6"/>
      <c r="F99" s="6"/>
      <c r="G99" s="6"/>
      <c r="H99" s="19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6"/>
      <c r="B100" s="6"/>
      <c r="C100" s="6"/>
      <c r="D100" s="6"/>
      <c r="E100" s="6"/>
      <c r="F100" s="6"/>
      <c r="G100" s="6"/>
      <c r="H100" s="19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6"/>
      <c r="B101" s="6"/>
      <c r="C101" s="6"/>
      <c r="D101" s="6"/>
      <c r="E101" s="6"/>
      <c r="F101" s="6"/>
      <c r="G101" s="6"/>
      <c r="H101" s="19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6"/>
      <c r="D102" s="6"/>
      <c r="E102" s="6"/>
      <c r="F102" s="6"/>
      <c r="G102" s="6"/>
      <c r="H102" s="19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6"/>
      <c r="D103" s="6"/>
      <c r="E103" s="6"/>
      <c r="F103" s="6"/>
      <c r="G103" s="6"/>
      <c r="H103" s="19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6"/>
      <c r="D104" s="6"/>
      <c r="E104" s="6"/>
      <c r="F104" s="6"/>
      <c r="G104" s="6"/>
      <c r="H104" s="19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6"/>
      <c r="D105" s="6"/>
      <c r="E105" s="6"/>
      <c r="F105" s="6"/>
      <c r="G105" s="6"/>
      <c r="H105" s="19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6"/>
      <c r="D106" s="6"/>
      <c r="E106" s="6"/>
      <c r="F106" s="6"/>
      <c r="G106" s="6"/>
      <c r="H106" s="19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6"/>
      <c r="D107" s="6"/>
      <c r="E107" s="6"/>
      <c r="F107" s="6"/>
      <c r="G107" s="6"/>
      <c r="H107" s="19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6"/>
      <c r="D108" s="6"/>
      <c r="E108" s="6"/>
      <c r="F108" s="6"/>
      <c r="G108" s="6"/>
      <c r="H108" s="19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6"/>
      <c r="D109" s="6"/>
      <c r="E109" s="6"/>
      <c r="F109" s="6"/>
      <c r="G109" s="6"/>
      <c r="H109" s="19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6"/>
      <c r="D110" s="6"/>
      <c r="E110" s="6"/>
      <c r="F110" s="6"/>
      <c r="G110" s="6"/>
      <c r="H110" s="19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6"/>
      <c r="D111" s="6"/>
      <c r="E111" s="6"/>
      <c r="F111" s="6"/>
      <c r="G111" s="6"/>
      <c r="H111" s="19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6"/>
      <c r="D112" s="6"/>
      <c r="E112" s="6"/>
      <c r="F112" s="6"/>
      <c r="G112" s="6"/>
      <c r="H112" s="19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6"/>
      <c r="D113" s="6"/>
      <c r="E113" s="6"/>
      <c r="F113" s="6"/>
      <c r="G113" s="6"/>
      <c r="H113" s="19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6"/>
      <c r="D114" s="6"/>
      <c r="E114" s="6"/>
      <c r="F114" s="6"/>
      <c r="G114" s="6"/>
      <c r="H114" s="19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6"/>
      <c r="D115" s="6"/>
      <c r="E115" s="6"/>
      <c r="F115" s="6"/>
      <c r="G115" s="6"/>
      <c r="H115" s="19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6"/>
      <c r="D116" s="6"/>
      <c r="E116" s="6"/>
      <c r="F116" s="6"/>
      <c r="G116" s="6"/>
      <c r="H116" s="19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6"/>
      <c r="D117" s="6"/>
      <c r="E117" s="6"/>
      <c r="F117" s="6"/>
      <c r="G117" s="6"/>
      <c r="H117" s="19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6"/>
      <c r="D118" s="6"/>
      <c r="E118" s="6"/>
      <c r="F118" s="6"/>
      <c r="G118" s="6"/>
      <c r="H118" s="19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6"/>
      <c r="D119" s="6"/>
      <c r="E119" s="6"/>
      <c r="F119" s="6"/>
      <c r="G119" s="6"/>
      <c r="H119" s="19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6"/>
      <c r="D120" s="6"/>
      <c r="E120" s="6"/>
      <c r="F120" s="6"/>
      <c r="G120" s="6"/>
      <c r="H120" s="19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6"/>
      <c r="D121" s="6"/>
      <c r="E121" s="6"/>
      <c r="F121" s="6"/>
      <c r="G121" s="6"/>
      <c r="H121" s="19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6"/>
      <c r="D122" s="6"/>
      <c r="E122" s="6"/>
      <c r="F122" s="6"/>
      <c r="G122" s="6"/>
      <c r="H122" s="19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6"/>
      <c r="D123" s="6"/>
      <c r="E123" s="6"/>
      <c r="F123" s="6"/>
      <c r="G123" s="6"/>
      <c r="H123" s="19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6"/>
      <c r="D124" s="6"/>
      <c r="E124" s="6"/>
      <c r="F124" s="6"/>
      <c r="G124" s="6"/>
      <c r="H124" s="19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6"/>
      <c r="D125" s="6"/>
      <c r="E125" s="6"/>
      <c r="F125" s="6"/>
      <c r="G125" s="6"/>
      <c r="H125" s="19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6"/>
      <c r="D126" s="6"/>
      <c r="E126" s="6"/>
      <c r="F126" s="6"/>
      <c r="G126" s="6"/>
      <c r="H126" s="19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6"/>
      <c r="D127" s="6"/>
      <c r="E127" s="6"/>
      <c r="F127" s="6"/>
      <c r="G127" s="6"/>
      <c r="H127" s="19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6"/>
      <c r="D128" s="6"/>
      <c r="E128" s="6"/>
      <c r="F128" s="6"/>
      <c r="G128" s="6"/>
      <c r="H128" s="19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6"/>
      <c r="D129" s="6"/>
      <c r="E129" s="6"/>
      <c r="F129" s="6"/>
      <c r="G129" s="6"/>
      <c r="H129" s="19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6"/>
      <c r="D130" s="6"/>
      <c r="E130" s="6"/>
      <c r="F130" s="6"/>
      <c r="G130" s="6"/>
      <c r="H130" s="19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6"/>
      <c r="D131" s="6"/>
      <c r="E131" s="6"/>
      <c r="F131" s="6"/>
      <c r="G131" s="6"/>
      <c r="H131" s="19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6"/>
      <c r="D132" s="6"/>
      <c r="E132" s="6"/>
      <c r="F132" s="6"/>
      <c r="G132" s="6"/>
      <c r="H132" s="19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6"/>
      <c r="D133" s="6"/>
      <c r="E133" s="6"/>
      <c r="F133" s="6"/>
      <c r="G133" s="6"/>
      <c r="H133" s="19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6"/>
      <c r="D134" s="6"/>
      <c r="E134" s="6"/>
      <c r="F134" s="6"/>
      <c r="G134" s="6"/>
      <c r="H134" s="19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6"/>
      <c r="D135" s="6"/>
      <c r="E135" s="6"/>
      <c r="F135" s="6"/>
      <c r="G135" s="6"/>
      <c r="H135" s="19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6"/>
      <c r="D136" s="6"/>
      <c r="E136" s="6"/>
      <c r="F136" s="6"/>
      <c r="G136" s="6"/>
      <c r="H136" s="19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6"/>
      <c r="D137" s="6"/>
      <c r="E137" s="6"/>
      <c r="F137" s="6"/>
      <c r="G137" s="6"/>
      <c r="H137" s="19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6"/>
      <c r="D138" s="6"/>
      <c r="E138" s="6"/>
      <c r="F138" s="6"/>
      <c r="G138" s="6"/>
      <c r="H138" s="19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6"/>
      <c r="D139" s="6"/>
      <c r="E139" s="6"/>
      <c r="F139" s="6"/>
      <c r="G139" s="6"/>
      <c r="H139" s="19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6"/>
      <c r="D140" s="6"/>
      <c r="E140" s="6"/>
      <c r="F140" s="6"/>
      <c r="G140" s="6"/>
      <c r="H140" s="19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6"/>
      <c r="D141" s="6"/>
      <c r="E141" s="6"/>
      <c r="F141" s="6"/>
      <c r="G141" s="6"/>
      <c r="H141" s="19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6"/>
      <c r="D142" s="6"/>
      <c r="E142" s="6"/>
      <c r="F142" s="6"/>
      <c r="G142" s="6"/>
      <c r="H142" s="19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6"/>
      <c r="D143" s="6"/>
      <c r="E143" s="6"/>
      <c r="F143" s="6"/>
      <c r="G143" s="6"/>
      <c r="H143" s="19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6"/>
      <c r="D144" s="6"/>
      <c r="E144" s="6"/>
      <c r="F144" s="6"/>
      <c r="G144" s="6"/>
      <c r="H144" s="19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6"/>
      <c r="D145" s="6"/>
      <c r="E145" s="6"/>
      <c r="F145" s="6"/>
      <c r="G145" s="6"/>
      <c r="H145" s="19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6"/>
      <c r="D146" s="6"/>
      <c r="E146" s="6"/>
      <c r="F146" s="6"/>
      <c r="G146" s="6"/>
      <c r="H146" s="19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6"/>
      <c r="D147" s="6"/>
      <c r="E147" s="6"/>
      <c r="F147" s="6"/>
      <c r="G147" s="6"/>
      <c r="H147" s="19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6"/>
      <c r="D148" s="6"/>
      <c r="E148" s="6"/>
      <c r="F148" s="6"/>
      <c r="G148" s="6"/>
      <c r="H148" s="19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6"/>
      <c r="D149" s="6"/>
      <c r="E149" s="6"/>
      <c r="F149" s="6"/>
      <c r="G149" s="6"/>
      <c r="H149" s="19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6"/>
      <c r="D150" s="6"/>
      <c r="E150" s="6"/>
      <c r="F150" s="6"/>
      <c r="G150" s="6"/>
      <c r="H150" s="19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6"/>
      <c r="D151" s="6"/>
      <c r="E151" s="6"/>
      <c r="F151" s="6"/>
      <c r="G151" s="6"/>
      <c r="H151" s="19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6"/>
      <c r="D152" s="6"/>
      <c r="E152" s="6"/>
      <c r="F152" s="6"/>
      <c r="G152" s="6"/>
      <c r="H152" s="19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6"/>
      <c r="D153" s="6"/>
      <c r="E153" s="6"/>
      <c r="F153" s="6"/>
      <c r="G153" s="6"/>
      <c r="H153" s="19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6"/>
      <c r="D154" s="6"/>
      <c r="E154" s="6"/>
      <c r="F154" s="6"/>
      <c r="G154" s="6"/>
      <c r="H154" s="19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6"/>
      <c r="D155" s="6"/>
      <c r="E155" s="6"/>
      <c r="F155" s="6"/>
      <c r="G155" s="6"/>
      <c r="H155" s="19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6"/>
      <c r="D156" s="6"/>
      <c r="E156" s="6"/>
      <c r="F156" s="6"/>
      <c r="G156" s="6"/>
      <c r="H156" s="19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6"/>
      <c r="D157" s="6"/>
      <c r="E157" s="6"/>
      <c r="F157" s="6"/>
      <c r="G157" s="6"/>
      <c r="H157" s="19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6"/>
      <c r="D158" s="6"/>
      <c r="E158" s="6"/>
      <c r="F158" s="6"/>
      <c r="G158" s="6"/>
      <c r="H158" s="19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6"/>
      <c r="D159" s="6"/>
      <c r="E159" s="6"/>
      <c r="F159" s="6"/>
      <c r="G159" s="6"/>
      <c r="H159" s="19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6"/>
      <c r="D160" s="6"/>
      <c r="E160" s="6"/>
      <c r="F160" s="6"/>
      <c r="G160" s="6"/>
      <c r="H160" s="19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6"/>
      <c r="D161" s="6"/>
      <c r="E161" s="6"/>
      <c r="F161" s="6"/>
      <c r="G161" s="6"/>
      <c r="H161" s="19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6"/>
      <c r="D162" s="6"/>
      <c r="E162" s="6"/>
      <c r="F162" s="6"/>
      <c r="G162" s="6"/>
      <c r="H162" s="19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6"/>
      <c r="D163" s="6"/>
      <c r="E163" s="6"/>
      <c r="F163" s="6"/>
      <c r="G163" s="6"/>
      <c r="H163" s="19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6"/>
      <c r="D164" s="6"/>
      <c r="E164" s="6"/>
      <c r="F164" s="6"/>
      <c r="G164" s="6"/>
      <c r="H164" s="19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6"/>
      <c r="D165" s="6"/>
      <c r="E165" s="6"/>
      <c r="F165" s="6"/>
      <c r="G165" s="6"/>
      <c r="H165" s="19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6"/>
      <c r="D166" s="6"/>
      <c r="E166" s="6"/>
      <c r="F166" s="6"/>
      <c r="G166" s="6"/>
      <c r="H166" s="19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6"/>
      <c r="D167" s="6"/>
      <c r="E167" s="6"/>
      <c r="F167" s="6"/>
      <c r="G167" s="6"/>
      <c r="H167" s="19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6"/>
      <c r="D168" s="6"/>
      <c r="E168" s="6"/>
      <c r="F168" s="6"/>
      <c r="G168" s="6"/>
      <c r="H168" s="19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6"/>
      <c r="D169" s="6"/>
      <c r="E169" s="6"/>
      <c r="F169" s="6"/>
      <c r="G169" s="6"/>
      <c r="H169" s="19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6"/>
      <c r="D170" s="6"/>
      <c r="E170" s="6"/>
      <c r="F170" s="6"/>
      <c r="G170" s="6"/>
      <c r="H170" s="19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6"/>
      <c r="D171" s="6"/>
      <c r="E171" s="6"/>
      <c r="F171" s="6"/>
      <c r="G171" s="6"/>
      <c r="H171" s="19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6"/>
      <c r="D172" s="6"/>
      <c r="E172" s="6"/>
      <c r="F172" s="6"/>
      <c r="G172" s="6"/>
      <c r="H172" s="19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6"/>
      <c r="D173" s="6"/>
      <c r="E173" s="6"/>
      <c r="F173" s="6"/>
      <c r="G173" s="6"/>
      <c r="H173" s="19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6"/>
      <c r="D174" s="6"/>
      <c r="E174" s="6"/>
      <c r="F174" s="6"/>
      <c r="G174" s="6"/>
      <c r="H174" s="19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6"/>
      <c r="D175" s="6"/>
      <c r="E175" s="6"/>
      <c r="F175" s="6"/>
      <c r="G175" s="6"/>
      <c r="H175" s="19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6"/>
      <c r="D176" s="6"/>
      <c r="E176" s="6"/>
      <c r="F176" s="6"/>
      <c r="G176" s="6"/>
      <c r="H176" s="19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6"/>
      <c r="D177" s="6"/>
      <c r="E177" s="6"/>
      <c r="F177" s="6"/>
      <c r="G177" s="6"/>
      <c r="H177" s="19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6"/>
      <c r="D178" s="6"/>
      <c r="E178" s="6"/>
      <c r="F178" s="6"/>
      <c r="G178" s="6"/>
      <c r="H178" s="19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6"/>
      <c r="D179" s="6"/>
      <c r="E179" s="6"/>
      <c r="F179" s="6"/>
      <c r="G179" s="6"/>
      <c r="H179" s="19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6"/>
      <c r="D180" s="6"/>
      <c r="E180" s="6"/>
      <c r="F180" s="6"/>
      <c r="G180" s="6"/>
      <c r="H180" s="19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6"/>
      <c r="D181" s="6"/>
      <c r="E181" s="6"/>
      <c r="F181" s="6"/>
      <c r="G181" s="6"/>
      <c r="H181" s="19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6"/>
      <c r="D182" s="6"/>
      <c r="E182" s="6"/>
      <c r="F182" s="6"/>
      <c r="G182" s="6"/>
      <c r="H182" s="19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6"/>
      <c r="D183" s="6"/>
      <c r="E183" s="6"/>
      <c r="F183" s="6"/>
      <c r="G183" s="6"/>
      <c r="H183" s="19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6"/>
      <c r="D184" s="6"/>
      <c r="E184" s="6"/>
      <c r="F184" s="6"/>
      <c r="G184" s="6"/>
      <c r="H184" s="19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6"/>
      <c r="D185" s="6"/>
      <c r="E185" s="6"/>
      <c r="F185" s="6"/>
      <c r="G185" s="6"/>
      <c r="H185" s="19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6"/>
      <c r="D186" s="6"/>
      <c r="E186" s="6"/>
      <c r="F186" s="6"/>
      <c r="G186" s="6"/>
      <c r="H186" s="19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6"/>
      <c r="D187" s="6"/>
      <c r="E187" s="6"/>
      <c r="F187" s="6"/>
      <c r="G187" s="6"/>
      <c r="H187" s="19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6"/>
      <c r="D188" s="6"/>
      <c r="E188" s="6"/>
      <c r="F188" s="6"/>
      <c r="G188" s="6"/>
      <c r="H188" s="19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6"/>
      <c r="D189" s="6"/>
      <c r="E189" s="6"/>
      <c r="F189" s="6"/>
      <c r="G189" s="6"/>
      <c r="H189" s="19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6"/>
      <c r="D190" s="6"/>
      <c r="E190" s="6"/>
      <c r="F190" s="6"/>
      <c r="G190" s="6"/>
      <c r="H190" s="19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6"/>
      <c r="D191" s="6"/>
      <c r="E191" s="6"/>
      <c r="F191" s="6"/>
      <c r="G191" s="6"/>
      <c r="H191" s="19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6"/>
      <c r="D192" s="6"/>
      <c r="E192" s="6"/>
      <c r="F192" s="6"/>
      <c r="G192" s="6"/>
      <c r="H192" s="19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6"/>
      <c r="D193" s="6"/>
      <c r="E193" s="6"/>
      <c r="F193" s="6"/>
      <c r="G193" s="6"/>
      <c r="H193" s="19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6"/>
      <c r="D194" s="6"/>
      <c r="E194" s="6"/>
      <c r="F194" s="6"/>
      <c r="G194" s="6"/>
      <c r="H194" s="19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6"/>
      <c r="D195" s="6"/>
      <c r="E195" s="6"/>
      <c r="F195" s="6"/>
      <c r="G195" s="6"/>
      <c r="H195" s="19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6"/>
      <c r="D196" s="6"/>
      <c r="E196" s="6"/>
      <c r="F196" s="6"/>
      <c r="G196" s="6"/>
      <c r="H196" s="19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6"/>
      <c r="D197" s="6"/>
      <c r="E197" s="6"/>
      <c r="F197" s="6"/>
      <c r="G197" s="6"/>
      <c r="H197" s="19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6"/>
      <c r="D198" s="6"/>
      <c r="E198" s="6"/>
      <c r="F198" s="6"/>
      <c r="G198" s="6"/>
      <c r="H198" s="19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6"/>
      <c r="D199" s="6"/>
      <c r="E199" s="6"/>
      <c r="F199" s="6"/>
      <c r="G199" s="6"/>
      <c r="H199" s="19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6"/>
      <c r="D200" s="6"/>
      <c r="E200" s="6"/>
      <c r="F200" s="6"/>
      <c r="G200" s="6"/>
      <c r="H200" s="19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6"/>
      <c r="D201" s="6"/>
      <c r="E201" s="6"/>
      <c r="F201" s="6"/>
      <c r="G201" s="6"/>
      <c r="H201" s="19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6"/>
      <c r="D202" s="6"/>
      <c r="E202" s="6"/>
      <c r="F202" s="6"/>
      <c r="G202" s="6"/>
      <c r="H202" s="19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6"/>
      <c r="D203" s="6"/>
      <c r="E203" s="6"/>
      <c r="F203" s="6"/>
      <c r="G203" s="6"/>
      <c r="H203" s="19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6"/>
      <c r="D204" s="6"/>
      <c r="E204" s="6"/>
      <c r="F204" s="6"/>
      <c r="G204" s="6"/>
      <c r="H204" s="19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6"/>
      <c r="D205" s="6"/>
      <c r="E205" s="6"/>
      <c r="F205" s="6"/>
      <c r="G205" s="6"/>
      <c r="H205" s="19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6"/>
      <c r="D206" s="6"/>
      <c r="E206" s="6"/>
      <c r="F206" s="6"/>
      <c r="G206" s="6"/>
      <c r="H206" s="19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6"/>
      <c r="D207" s="6"/>
      <c r="E207" s="6"/>
      <c r="F207" s="6"/>
      <c r="G207" s="6"/>
      <c r="H207" s="19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6"/>
      <c r="D208" s="6"/>
      <c r="E208" s="6"/>
      <c r="F208" s="6"/>
      <c r="G208" s="6"/>
      <c r="H208" s="19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6"/>
      <c r="D209" s="6"/>
      <c r="E209" s="6"/>
      <c r="F209" s="6"/>
      <c r="G209" s="6"/>
      <c r="H209" s="19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6"/>
      <c r="D210" s="6"/>
      <c r="E210" s="6"/>
      <c r="F210" s="6"/>
      <c r="G210" s="6"/>
      <c r="H210" s="19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6"/>
      <c r="D211" s="6"/>
      <c r="E211" s="6"/>
      <c r="F211" s="6"/>
      <c r="G211" s="6"/>
      <c r="H211" s="19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6"/>
      <c r="D212" s="6"/>
      <c r="E212" s="6"/>
      <c r="F212" s="6"/>
      <c r="G212" s="6"/>
      <c r="H212" s="19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6"/>
      <c r="D213" s="6"/>
      <c r="E213" s="6"/>
      <c r="F213" s="6"/>
      <c r="G213" s="6"/>
      <c r="H213" s="19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6"/>
      <c r="D214" s="6"/>
      <c r="E214" s="6"/>
      <c r="F214" s="6"/>
      <c r="G214" s="6"/>
      <c r="H214" s="19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6"/>
      <c r="D215" s="6"/>
      <c r="E215" s="6"/>
      <c r="F215" s="6"/>
      <c r="G215" s="6"/>
      <c r="H215" s="19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6"/>
      <c r="D216" s="6"/>
      <c r="E216" s="6"/>
      <c r="F216" s="6"/>
      <c r="G216" s="6"/>
      <c r="H216" s="19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6"/>
      <c r="D217" s="6"/>
      <c r="E217" s="6"/>
      <c r="F217" s="6"/>
      <c r="G217" s="6"/>
      <c r="H217" s="19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6"/>
      <c r="D218" s="6"/>
      <c r="E218" s="6"/>
      <c r="F218" s="6"/>
      <c r="G218" s="6"/>
      <c r="H218" s="19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6"/>
      <c r="D219" s="6"/>
      <c r="E219" s="6"/>
      <c r="F219" s="6"/>
      <c r="G219" s="6"/>
      <c r="H219" s="19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6"/>
      <c r="D220" s="6"/>
      <c r="E220" s="6"/>
      <c r="F220" s="6"/>
      <c r="G220" s="6"/>
      <c r="H220" s="19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6"/>
      <c r="D221" s="6"/>
      <c r="E221" s="6"/>
      <c r="F221" s="6"/>
      <c r="G221" s="6"/>
      <c r="H221" s="19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6"/>
      <c r="D222" s="6"/>
      <c r="E222" s="6"/>
      <c r="F222" s="6"/>
      <c r="G222" s="6"/>
      <c r="H222" s="19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6"/>
      <c r="D223" s="6"/>
      <c r="E223" s="6"/>
      <c r="F223" s="6"/>
      <c r="G223" s="6"/>
      <c r="H223" s="19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6"/>
      <c r="D224" s="6"/>
      <c r="E224" s="6"/>
      <c r="F224" s="6"/>
      <c r="G224" s="6"/>
      <c r="H224" s="19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6"/>
      <c r="D225" s="6"/>
      <c r="E225" s="6"/>
      <c r="F225" s="6"/>
      <c r="G225" s="6"/>
      <c r="H225" s="19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6"/>
      <c r="D226" s="6"/>
      <c r="E226" s="6"/>
      <c r="F226" s="6"/>
      <c r="G226" s="6"/>
      <c r="H226" s="19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6"/>
      <c r="D227" s="6"/>
      <c r="E227" s="6"/>
      <c r="F227" s="6"/>
      <c r="G227" s="6"/>
      <c r="H227" s="19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6"/>
      <c r="D228" s="6"/>
      <c r="E228" s="6"/>
      <c r="F228" s="6"/>
      <c r="G228" s="6"/>
      <c r="H228" s="19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6"/>
      <c r="D229" s="6"/>
      <c r="E229" s="6"/>
      <c r="F229" s="6"/>
      <c r="G229" s="6"/>
      <c r="H229" s="19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6"/>
      <c r="D230" s="6"/>
      <c r="E230" s="6"/>
      <c r="F230" s="6"/>
      <c r="G230" s="6"/>
      <c r="H230" s="19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6"/>
      <c r="D231" s="6"/>
      <c r="E231" s="6"/>
      <c r="F231" s="6"/>
      <c r="G231" s="6"/>
      <c r="H231" s="19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6"/>
      <c r="D232" s="6"/>
      <c r="E232" s="6"/>
      <c r="F232" s="6"/>
      <c r="G232" s="6"/>
      <c r="H232" s="19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6"/>
      <c r="D233" s="6"/>
      <c r="E233" s="6"/>
      <c r="F233" s="6"/>
      <c r="G233" s="6"/>
      <c r="H233" s="19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6"/>
      <c r="D234" s="6"/>
      <c r="E234" s="6"/>
      <c r="F234" s="6"/>
      <c r="G234" s="6"/>
      <c r="H234" s="19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6"/>
      <c r="D235" s="6"/>
      <c r="E235" s="6"/>
      <c r="F235" s="6"/>
      <c r="G235" s="6"/>
      <c r="H235" s="19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6"/>
      <c r="D236" s="6"/>
      <c r="E236" s="6"/>
      <c r="F236" s="6"/>
      <c r="G236" s="6"/>
      <c r="H236" s="19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6"/>
      <c r="D237" s="6"/>
      <c r="E237" s="6"/>
      <c r="F237" s="6"/>
      <c r="G237" s="6"/>
      <c r="H237" s="19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6"/>
      <c r="D238" s="6"/>
      <c r="E238" s="6"/>
      <c r="F238" s="6"/>
      <c r="G238" s="6"/>
      <c r="H238" s="19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6"/>
      <c r="D239" s="6"/>
      <c r="E239" s="6"/>
      <c r="F239" s="6"/>
      <c r="G239" s="6"/>
      <c r="H239" s="19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6"/>
      <c r="D240" s="6"/>
      <c r="E240" s="6"/>
      <c r="F240" s="6"/>
      <c r="G240" s="6"/>
      <c r="H240" s="19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6"/>
      <c r="D241" s="6"/>
      <c r="E241" s="6"/>
      <c r="F241" s="6"/>
      <c r="G241" s="6"/>
      <c r="H241" s="19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6"/>
      <c r="D242" s="6"/>
      <c r="E242" s="6"/>
      <c r="F242" s="6"/>
      <c r="G242" s="6"/>
      <c r="H242" s="19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6"/>
      <c r="D243" s="6"/>
      <c r="E243" s="6"/>
      <c r="F243" s="6"/>
      <c r="G243" s="6"/>
      <c r="H243" s="19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6"/>
      <c r="D244" s="6"/>
      <c r="E244" s="6"/>
      <c r="F244" s="6"/>
      <c r="G244" s="6"/>
      <c r="H244" s="19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6"/>
      <c r="D245" s="6"/>
      <c r="E245" s="6"/>
      <c r="F245" s="6"/>
      <c r="G245" s="6"/>
      <c r="H245" s="19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6"/>
      <c r="D246" s="6"/>
      <c r="E246" s="6"/>
      <c r="F246" s="6"/>
      <c r="G246" s="6"/>
      <c r="H246" s="19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6"/>
      <c r="D247" s="6"/>
      <c r="E247" s="6"/>
      <c r="F247" s="6"/>
      <c r="G247" s="6"/>
      <c r="H247" s="19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6"/>
      <c r="D248" s="6"/>
      <c r="E248" s="6"/>
      <c r="F248" s="6"/>
      <c r="G248" s="6"/>
      <c r="H248" s="19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6"/>
      <c r="D249" s="6"/>
      <c r="E249" s="6"/>
      <c r="F249" s="6"/>
      <c r="G249" s="6"/>
      <c r="H249" s="19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6"/>
      <c r="D250" s="6"/>
      <c r="E250" s="6"/>
      <c r="F250" s="6"/>
      <c r="G250" s="6"/>
      <c r="H250" s="19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6"/>
      <c r="D251" s="6"/>
      <c r="E251" s="6"/>
      <c r="F251" s="6"/>
      <c r="G251" s="6"/>
      <c r="H251" s="19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6"/>
      <c r="D252" s="6"/>
      <c r="E252" s="6"/>
      <c r="F252" s="6"/>
      <c r="G252" s="6"/>
      <c r="H252" s="19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6"/>
      <c r="D253" s="6"/>
      <c r="E253" s="6"/>
      <c r="F253" s="6"/>
      <c r="G253" s="6"/>
      <c r="H253" s="19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6"/>
      <c r="D254" s="6"/>
      <c r="E254" s="6"/>
      <c r="F254" s="6"/>
      <c r="G254" s="6"/>
      <c r="H254" s="19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6"/>
      <c r="D255" s="6"/>
      <c r="E255" s="6"/>
      <c r="F255" s="6"/>
      <c r="G255" s="6"/>
      <c r="H255" s="19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6"/>
      <c r="D256" s="6"/>
      <c r="E256" s="6"/>
      <c r="F256" s="6"/>
      <c r="G256" s="6"/>
      <c r="H256" s="19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6"/>
      <c r="D257" s="6"/>
      <c r="E257" s="6"/>
      <c r="F257" s="6"/>
      <c r="G257" s="6"/>
      <c r="H257" s="19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6"/>
      <c r="D258" s="6"/>
      <c r="E258" s="6"/>
      <c r="F258" s="6"/>
      <c r="G258" s="6"/>
      <c r="H258" s="19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6"/>
      <c r="D259" s="6"/>
      <c r="E259" s="6"/>
      <c r="F259" s="6"/>
      <c r="G259" s="6"/>
      <c r="H259" s="19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6"/>
      <c r="D260" s="6"/>
      <c r="E260" s="6"/>
      <c r="F260" s="6"/>
      <c r="G260" s="6"/>
      <c r="H260" s="19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6"/>
      <c r="D261" s="6"/>
      <c r="E261" s="6"/>
      <c r="F261" s="6"/>
      <c r="G261" s="6"/>
      <c r="H261" s="19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6"/>
      <c r="D262" s="6"/>
      <c r="E262" s="6"/>
      <c r="F262" s="6"/>
      <c r="G262" s="6"/>
      <c r="H262" s="19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6"/>
      <c r="D263" s="6"/>
      <c r="E263" s="6"/>
      <c r="F263" s="6"/>
      <c r="G263" s="6"/>
      <c r="H263" s="19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6"/>
      <c r="D264" s="6"/>
      <c r="E264" s="6"/>
      <c r="F264" s="6"/>
      <c r="G264" s="6"/>
      <c r="H264" s="19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6"/>
      <c r="D265" s="6"/>
      <c r="E265" s="6"/>
      <c r="F265" s="6"/>
      <c r="G265" s="6"/>
      <c r="H265" s="19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6"/>
      <c r="D266" s="6"/>
      <c r="E266" s="6"/>
      <c r="F266" s="6"/>
      <c r="G266" s="6"/>
      <c r="H266" s="19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6"/>
      <c r="D267" s="6"/>
      <c r="E267" s="6"/>
      <c r="F267" s="6"/>
      <c r="G267" s="6"/>
      <c r="H267" s="19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6"/>
      <c r="D268" s="6"/>
      <c r="E268" s="6"/>
      <c r="F268" s="6"/>
      <c r="G268" s="6"/>
      <c r="H268" s="19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6"/>
      <c r="D269" s="6"/>
      <c r="E269" s="6"/>
      <c r="F269" s="6"/>
      <c r="G269" s="6"/>
      <c r="H269" s="19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6"/>
      <c r="D270" s="6"/>
      <c r="E270" s="6"/>
      <c r="F270" s="6"/>
      <c r="G270" s="6"/>
      <c r="H270" s="19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6"/>
      <c r="D271" s="6"/>
      <c r="E271" s="6"/>
      <c r="F271" s="6"/>
      <c r="G271" s="6"/>
      <c r="H271" s="19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6"/>
      <c r="D272" s="6"/>
      <c r="E272" s="6"/>
      <c r="F272" s="6"/>
      <c r="G272" s="6"/>
      <c r="H272" s="19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6"/>
      <c r="D273" s="6"/>
      <c r="E273" s="6"/>
      <c r="F273" s="6"/>
      <c r="G273" s="6"/>
      <c r="H273" s="19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6"/>
      <c r="D274" s="6"/>
      <c r="E274" s="6"/>
      <c r="F274" s="6"/>
      <c r="G274" s="6"/>
      <c r="H274" s="19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6"/>
      <c r="D275" s="6"/>
      <c r="E275" s="6"/>
      <c r="F275" s="6"/>
      <c r="G275" s="6"/>
      <c r="H275" s="19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6"/>
      <c r="D276" s="6"/>
      <c r="E276" s="6"/>
      <c r="F276" s="6"/>
      <c r="G276" s="6"/>
      <c r="H276" s="19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6"/>
      <c r="D277" s="6"/>
      <c r="E277" s="6"/>
      <c r="F277" s="6"/>
      <c r="G277" s="6"/>
      <c r="H277" s="19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6"/>
      <c r="D278" s="6"/>
      <c r="E278" s="6"/>
      <c r="F278" s="6"/>
      <c r="G278" s="6"/>
      <c r="H278" s="19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6"/>
      <c r="D279" s="6"/>
      <c r="E279" s="6"/>
      <c r="F279" s="6"/>
      <c r="G279" s="6"/>
      <c r="H279" s="19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6"/>
      <c r="D280" s="6"/>
      <c r="E280" s="6"/>
      <c r="F280" s="6"/>
      <c r="G280" s="6"/>
      <c r="H280" s="19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6"/>
      <c r="D281" s="6"/>
      <c r="E281" s="6"/>
      <c r="F281" s="6"/>
      <c r="G281" s="6"/>
      <c r="H281" s="19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6"/>
      <c r="D282" s="6"/>
      <c r="E282" s="6"/>
      <c r="F282" s="6"/>
      <c r="G282" s="6"/>
      <c r="H282" s="19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6"/>
      <c r="D283" s="6"/>
      <c r="E283" s="6"/>
      <c r="F283" s="6"/>
      <c r="G283" s="6"/>
      <c r="H283" s="19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6"/>
      <c r="D284" s="6"/>
      <c r="E284" s="6"/>
      <c r="F284" s="6"/>
      <c r="G284" s="6"/>
      <c r="H284" s="19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6"/>
      <c r="D285" s="6"/>
      <c r="E285" s="6"/>
      <c r="F285" s="6"/>
      <c r="G285" s="6"/>
      <c r="H285" s="19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6"/>
      <c r="D286" s="6"/>
      <c r="E286" s="6"/>
      <c r="F286" s="6"/>
      <c r="G286" s="6"/>
      <c r="H286" s="19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6"/>
      <c r="D287" s="6"/>
      <c r="E287" s="6"/>
      <c r="F287" s="6"/>
      <c r="G287" s="6"/>
      <c r="H287" s="19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6"/>
      <c r="D288" s="6"/>
      <c r="E288" s="6"/>
      <c r="F288" s="6"/>
      <c r="G288" s="6"/>
      <c r="H288" s="19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6"/>
      <c r="D289" s="6"/>
      <c r="E289" s="6"/>
      <c r="F289" s="6"/>
      <c r="G289" s="6"/>
      <c r="H289" s="19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6"/>
      <c r="D290" s="6"/>
      <c r="E290" s="6"/>
      <c r="F290" s="6"/>
      <c r="G290" s="6"/>
      <c r="H290" s="19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6"/>
      <c r="D291" s="6"/>
      <c r="E291" s="6"/>
      <c r="F291" s="6"/>
      <c r="G291" s="6"/>
      <c r="H291" s="19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6"/>
      <c r="D292" s="6"/>
      <c r="E292" s="6"/>
      <c r="F292" s="6"/>
      <c r="G292" s="6"/>
      <c r="H292" s="19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6"/>
      <c r="D293" s="6"/>
      <c r="E293" s="6"/>
      <c r="F293" s="6"/>
      <c r="G293" s="6"/>
      <c r="H293" s="19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6"/>
      <c r="D294" s="6"/>
      <c r="E294" s="6"/>
      <c r="F294" s="6"/>
      <c r="G294" s="6"/>
      <c r="H294" s="19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6"/>
      <c r="D295" s="6"/>
      <c r="E295" s="6"/>
      <c r="F295" s="6"/>
      <c r="G295" s="6"/>
      <c r="H295" s="19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6"/>
      <c r="D296" s="6"/>
      <c r="E296" s="6"/>
      <c r="F296" s="6"/>
      <c r="G296" s="6"/>
      <c r="H296" s="19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6"/>
      <c r="D297" s="6"/>
      <c r="E297" s="6"/>
      <c r="F297" s="6"/>
      <c r="G297" s="6"/>
      <c r="H297" s="19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6"/>
      <c r="D298" s="6"/>
      <c r="E298" s="6"/>
      <c r="F298" s="6"/>
      <c r="G298" s="6"/>
      <c r="H298" s="19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6"/>
      <c r="D299" s="6"/>
      <c r="E299" s="6"/>
      <c r="F299" s="6"/>
      <c r="G299" s="6"/>
      <c r="H299" s="19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6"/>
      <c r="D300" s="6"/>
      <c r="E300" s="6"/>
      <c r="F300" s="6"/>
      <c r="G300" s="6"/>
      <c r="H300" s="19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6"/>
      <c r="D301" s="6"/>
      <c r="E301" s="6"/>
      <c r="F301" s="6"/>
      <c r="G301" s="6"/>
      <c r="H301" s="19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6"/>
      <c r="E302" s="6"/>
      <c r="F302" s="6"/>
      <c r="G302" s="6"/>
      <c r="H302" s="19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6"/>
      <c r="E303" s="6"/>
      <c r="F303" s="6"/>
      <c r="G303" s="6"/>
      <c r="H303" s="19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6"/>
      <c r="E304" s="6"/>
      <c r="F304" s="6"/>
      <c r="G304" s="6"/>
      <c r="H304" s="19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6"/>
      <c r="E305" s="6"/>
      <c r="F305" s="6"/>
      <c r="G305" s="6"/>
      <c r="H305" s="19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6"/>
      <c r="E306" s="6"/>
      <c r="F306" s="6"/>
      <c r="G306" s="6"/>
      <c r="H306" s="19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6"/>
      <c r="E307" s="6"/>
      <c r="F307" s="6"/>
      <c r="G307" s="6"/>
      <c r="H307" s="19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6"/>
      <c r="E308" s="6"/>
      <c r="F308" s="6"/>
      <c r="G308" s="6"/>
      <c r="H308" s="19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6"/>
      <c r="E309" s="6"/>
      <c r="F309" s="6"/>
      <c r="G309" s="6"/>
      <c r="H309" s="19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6"/>
      <c r="E310" s="6"/>
      <c r="F310" s="6"/>
      <c r="G310" s="6"/>
      <c r="H310" s="19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6"/>
      <c r="E311" s="6"/>
      <c r="F311" s="6"/>
      <c r="G311" s="6"/>
      <c r="H311" s="19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6"/>
      <c r="E312" s="6"/>
      <c r="F312" s="6"/>
      <c r="G312" s="6"/>
      <c r="H312" s="19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6"/>
      <c r="E313" s="6"/>
      <c r="F313" s="6"/>
      <c r="G313" s="6"/>
      <c r="H313" s="19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6"/>
      <c r="E314" s="6"/>
      <c r="F314" s="6"/>
      <c r="G314" s="6"/>
      <c r="H314" s="19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6"/>
      <c r="E315" s="6"/>
      <c r="F315" s="6"/>
      <c r="G315" s="6"/>
      <c r="H315" s="19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6"/>
      <c r="E316" s="6"/>
      <c r="F316" s="6"/>
      <c r="G316" s="6"/>
      <c r="H316" s="19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6"/>
      <c r="E317" s="6"/>
      <c r="F317" s="6"/>
      <c r="G317" s="6"/>
      <c r="H317" s="19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6"/>
      <c r="E318" s="6"/>
      <c r="F318" s="6"/>
      <c r="G318" s="6"/>
      <c r="H318" s="19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6"/>
      <c r="E319" s="6"/>
      <c r="F319" s="6"/>
      <c r="G319" s="6"/>
      <c r="H319" s="19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6"/>
      <c r="E320" s="6"/>
      <c r="F320" s="6"/>
      <c r="G320" s="6"/>
      <c r="H320" s="19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6"/>
      <c r="E321" s="6"/>
      <c r="F321" s="6"/>
      <c r="G321" s="6"/>
      <c r="H321" s="19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6"/>
      <c r="E322" s="6"/>
      <c r="F322" s="6"/>
      <c r="G322" s="6"/>
      <c r="H322" s="19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6"/>
      <c r="E323" s="6"/>
      <c r="F323" s="6"/>
      <c r="G323" s="6"/>
      <c r="H323" s="19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6"/>
      <c r="E324" s="6"/>
      <c r="F324" s="6"/>
      <c r="G324" s="6"/>
      <c r="H324" s="19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6"/>
      <c r="E325" s="6"/>
      <c r="F325" s="6"/>
      <c r="G325" s="6"/>
      <c r="H325" s="19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6"/>
      <c r="E326" s="6"/>
      <c r="F326" s="6"/>
      <c r="G326" s="6"/>
      <c r="H326" s="19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6"/>
      <c r="E327" s="6"/>
      <c r="F327" s="6"/>
      <c r="G327" s="6"/>
      <c r="H327" s="19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6"/>
      <c r="E328" s="6"/>
      <c r="F328" s="6"/>
      <c r="G328" s="6"/>
      <c r="H328" s="19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6"/>
      <c r="E329" s="6"/>
      <c r="F329" s="6"/>
      <c r="G329" s="6"/>
      <c r="H329" s="19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6"/>
      <c r="E330" s="6"/>
      <c r="F330" s="6"/>
      <c r="G330" s="6"/>
      <c r="H330" s="19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6"/>
      <c r="E331" s="6"/>
      <c r="F331" s="6"/>
      <c r="G331" s="6"/>
      <c r="H331" s="19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6"/>
      <c r="E332" s="6"/>
      <c r="F332" s="6"/>
      <c r="G332" s="6"/>
      <c r="H332" s="19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6"/>
      <c r="E333" s="6"/>
      <c r="F333" s="6"/>
      <c r="G333" s="6"/>
      <c r="H333" s="19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6"/>
      <c r="E334" s="6"/>
      <c r="F334" s="6"/>
      <c r="G334" s="6"/>
      <c r="H334" s="19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6"/>
      <c r="E335" s="6"/>
      <c r="F335" s="6"/>
      <c r="G335" s="6"/>
      <c r="H335" s="19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6"/>
      <c r="E336" s="6"/>
      <c r="F336" s="6"/>
      <c r="G336" s="6"/>
      <c r="H336" s="19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6"/>
      <c r="E337" s="6"/>
      <c r="F337" s="6"/>
      <c r="G337" s="6"/>
      <c r="H337" s="19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6"/>
      <c r="E338" s="6"/>
      <c r="F338" s="6"/>
      <c r="G338" s="6"/>
      <c r="H338" s="19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6"/>
      <c r="E339" s="6"/>
      <c r="F339" s="6"/>
      <c r="G339" s="6"/>
      <c r="H339" s="19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6"/>
      <c r="E340" s="6"/>
      <c r="F340" s="6"/>
      <c r="G340" s="6"/>
      <c r="H340" s="19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6"/>
      <c r="E341" s="6"/>
      <c r="F341" s="6"/>
      <c r="G341" s="6"/>
      <c r="H341" s="19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6"/>
      <c r="E342" s="6"/>
      <c r="F342" s="6"/>
      <c r="G342" s="6"/>
      <c r="H342" s="19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6"/>
      <c r="E343" s="6"/>
      <c r="F343" s="6"/>
      <c r="G343" s="6"/>
      <c r="H343" s="19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6"/>
      <c r="E344" s="6"/>
      <c r="F344" s="6"/>
      <c r="G344" s="6"/>
      <c r="H344" s="19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6"/>
      <c r="E345" s="6"/>
      <c r="F345" s="6"/>
      <c r="G345" s="6"/>
      <c r="H345" s="19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6"/>
      <c r="E346" s="6"/>
      <c r="F346" s="6"/>
      <c r="G346" s="6"/>
      <c r="H346" s="19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6"/>
      <c r="E347" s="6"/>
      <c r="F347" s="6"/>
      <c r="G347" s="6"/>
      <c r="H347" s="19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6"/>
      <c r="E348" s="6"/>
      <c r="F348" s="6"/>
      <c r="G348" s="6"/>
      <c r="H348" s="19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6"/>
      <c r="E349" s="6"/>
      <c r="F349" s="6"/>
      <c r="G349" s="6"/>
      <c r="H349" s="19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6"/>
      <c r="E350" s="6"/>
      <c r="F350" s="6"/>
      <c r="G350" s="6"/>
      <c r="H350" s="19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6"/>
      <c r="E351" s="6"/>
      <c r="F351" s="6"/>
      <c r="G351" s="6"/>
      <c r="H351" s="19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6"/>
      <c r="E352" s="6"/>
      <c r="F352" s="6"/>
      <c r="G352" s="6"/>
      <c r="H352" s="19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6"/>
      <c r="E353" s="6"/>
      <c r="F353" s="6"/>
      <c r="G353" s="6"/>
      <c r="H353" s="19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6"/>
      <c r="E354" s="6"/>
      <c r="F354" s="6"/>
      <c r="G354" s="6"/>
      <c r="H354" s="19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6"/>
      <c r="E355" s="6"/>
      <c r="F355" s="6"/>
      <c r="G355" s="6"/>
      <c r="H355" s="19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6"/>
      <c r="E356" s="6"/>
      <c r="F356" s="6"/>
      <c r="G356" s="6"/>
      <c r="H356" s="19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6"/>
      <c r="E357" s="6"/>
      <c r="F357" s="6"/>
      <c r="G357" s="6"/>
      <c r="H357" s="19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6"/>
      <c r="E358" s="6"/>
      <c r="F358" s="6"/>
      <c r="G358" s="6"/>
      <c r="H358" s="19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6"/>
      <c r="E359" s="6"/>
      <c r="F359" s="6"/>
      <c r="G359" s="6"/>
      <c r="H359" s="19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6"/>
      <c r="E360" s="6"/>
      <c r="F360" s="6"/>
      <c r="G360" s="6"/>
      <c r="H360" s="19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6"/>
      <c r="E361" s="6"/>
      <c r="F361" s="6"/>
      <c r="G361" s="6"/>
      <c r="H361" s="19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6"/>
      <c r="E362" s="6"/>
      <c r="F362" s="6"/>
      <c r="G362" s="6"/>
      <c r="H362" s="19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6"/>
      <c r="E363" s="6"/>
      <c r="F363" s="6"/>
      <c r="G363" s="6"/>
      <c r="H363" s="19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6"/>
      <c r="E364" s="6"/>
      <c r="F364" s="6"/>
      <c r="G364" s="6"/>
      <c r="H364" s="19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6"/>
      <c r="E365" s="6"/>
      <c r="F365" s="6"/>
      <c r="G365" s="6"/>
      <c r="H365" s="19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6"/>
      <c r="E366" s="6"/>
      <c r="F366" s="6"/>
      <c r="G366" s="6"/>
      <c r="H366" s="19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6"/>
      <c r="E367" s="6"/>
      <c r="F367" s="6"/>
      <c r="G367" s="6"/>
      <c r="H367" s="19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6"/>
      <c r="E368" s="6"/>
      <c r="F368" s="6"/>
      <c r="G368" s="6"/>
      <c r="H368" s="19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6"/>
      <c r="E369" s="6"/>
      <c r="F369" s="6"/>
      <c r="G369" s="6"/>
      <c r="H369" s="19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6"/>
      <c r="E370" s="6"/>
      <c r="F370" s="6"/>
      <c r="G370" s="6"/>
      <c r="H370" s="19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6"/>
      <c r="E371" s="6"/>
      <c r="F371" s="6"/>
      <c r="G371" s="6"/>
      <c r="H371" s="19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6"/>
      <c r="E372" s="6"/>
      <c r="F372" s="6"/>
      <c r="G372" s="6"/>
      <c r="H372" s="19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6"/>
      <c r="E373" s="6"/>
      <c r="F373" s="6"/>
      <c r="G373" s="6"/>
      <c r="H373" s="19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6"/>
      <c r="E374" s="6"/>
      <c r="F374" s="6"/>
      <c r="G374" s="6"/>
      <c r="H374" s="19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6"/>
      <c r="E375" s="6"/>
      <c r="F375" s="6"/>
      <c r="G375" s="6"/>
      <c r="H375" s="19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6"/>
      <c r="E376" s="6"/>
      <c r="F376" s="6"/>
      <c r="G376" s="6"/>
      <c r="H376" s="19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6"/>
      <c r="E377" s="6"/>
      <c r="F377" s="6"/>
      <c r="G377" s="6"/>
      <c r="H377" s="19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6"/>
      <c r="E378" s="6"/>
      <c r="F378" s="6"/>
      <c r="G378" s="6"/>
      <c r="H378" s="19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6"/>
      <c r="E379" s="6"/>
      <c r="F379" s="6"/>
      <c r="G379" s="6"/>
      <c r="H379" s="19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6"/>
      <c r="E380" s="6"/>
      <c r="F380" s="6"/>
      <c r="G380" s="6"/>
      <c r="H380" s="19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6"/>
      <c r="E381" s="6"/>
      <c r="F381" s="6"/>
      <c r="G381" s="6"/>
      <c r="H381" s="19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6"/>
      <c r="E382" s="6"/>
      <c r="F382" s="6"/>
      <c r="G382" s="6"/>
      <c r="H382" s="19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6"/>
      <c r="E383" s="6"/>
      <c r="F383" s="6"/>
      <c r="G383" s="6"/>
      <c r="H383" s="19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6"/>
      <c r="E384" s="6"/>
      <c r="F384" s="6"/>
      <c r="G384" s="6"/>
      <c r="H384" s="19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6"/>
      <c r="E385" s="6"/>
      <c r="F385" s="6"/>
      <c r="G385" s="6"/>
      <c r="H385" s="19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6"/>
      <c r="E386" s="6"/>
      <c r="F386" s="6"/>
      <c r="G386" s="6"/>
      <c r="H386" s="19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6"/>
      <c r="E387" s="6"/>
      <c r="F387" s="6"/>
      <c r="G387" s="6"/>
      <c r="H387" s="19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6"/>
      <c r="E388" s="6"/>
      <c r="F388" s="6"/>
      <c r="G388" s="6"/>
      <c r="H388" s="19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6"/>
      <c r="E389" s="6"/>
      <c r="F389" s="6"/>
      <c r="G389" s="6"/>
      <c r="H389" s="19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6"/>
      <c r="E390" s="6"/>
      <c r="F390" s="6"/>
      <c r="G390" s="6"/>
      <c r="H390" s="19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6"/>
      <c r="E391" s="6"/>
      <c r="F391" s="6"/>
      <c r="G391" s="6"/>
      <c r="H391" s="19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6"/>
      <c r="E392" s="6"/>
      <c r="F392" s="6"/>
      <c r="G392" s="6"/>
      <c r="H392" s="19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6"/>
      <c r="E393" s="6"/>
      <c r="F393" s="6"/>
      <c r="G393" s="6"/>
      <c r="H393" s="19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6"/>
      <c r="E394" s="6"/>
      <c r="F394" s="6"/>
      <c r="G394" s="6"/>
      <c r="H394" s="19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6"/>
      <c r="E395" s="6"/>
      <c r="F395" s="6"/>
      <c r="G395" s="6"/>
      <c r="H395" s="19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6"/>
      <c r="E396" s="6"/>
      <c r="F396" s="6"/>
      <c r="G396" s="6"/>
      <c r="H396" s="19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6"/>
      <c r="E397" s="6"/>
      <c r="F397" s="6"/>
      <c r="G397" s="6"/>
      <c r="H397" s="19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6"/>
      <c r="E398" s="6"/>
      <c r="F398" s="6"/>
      <c r="G398" s="6"/>
      <c r="H398" s="19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6"/>
      <c r="E399" s="6"/>
      <c r="F399" s="6"/>
      <c r="G399" s="6"/>
      <c r="H399" s="19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6"/>
      <c r="E400" s="6"/>
      <c r="F400" s="6"/>
      <c r="G400" s="6"/>
      <c r="H400" s="19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6"/>
      <c r="E401" s="6"/>
      <c r="F401" s="6"/>
      <c r="G401" s="6"/>
      <c r="H401" s="19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6"/>
      <c r="E402" s="6"/>
      <c r="F402" s="6"/>
      <c r="G402" s="6"/>
      <c r="H402" s="19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6"/>
      <c r="E403" s="6"/>
      <c r="F403" s="6"/>
      <c r="G403" s="6"/>
      <c r="H403" s="19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6"/>
      <c r="E404" s="6"/>
      <c r="F404" s="6"/>
      <c r="G404" s="6"/>
      <c r="H404" s="19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6"/>
      <c r="E405" s="6"/>
      <c r="F405" s="6"/>
      <c r="G405" s="6"/>
      <c r="H405" s="19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6"/>
      <c r="E406" s="6"/>
      <c r="F406" s="6"/>
      <c r="G406" s="6"/>
      <c r="H406" s="19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6"/>
      <c r="E407" s="6"/>
      <c r="F407" s="6"/>
      <c r="G407" s="6"/>
      <c r="H407" s="19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6"/>
      <c r="E408" s="6"/>
      <c r="F408" s="6"/>
      <c r="G408" s="6"/>
      <c r="H408" s="19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6"/>
      <c r="E409" s="6"/>
      <c r="F409" s="6"/>
      <c r="G409" s="6"/>
      <c r="H409" s="19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6"/>
      <c r="E410" s="6"/>
      <c r="F410" s="6"/>
      <c r="G410" s="6"/>
      <c r="H410" s="19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6"/>
      <c r="E411" s="6"/>
      <c r="F411" s="6"/>
      <c r="G411" s="6"/>
      <c r="H411" s="19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6"/>
      <c r="E412" s="6"/>
      <c r="F412" s="6"/>
      <c r="G412" s="6"/>
      <c r="H412" s="19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6"/>
      <c r="E413" s="6"/>
      <c r="F413" s="6"/>
      <c r="G413" s="6"/>
      <c r="H413" s="19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6"/>
      <c r="E414" s="6"/>
      <c r="F414" s="6"/>
      <c r="G414" s="6"/>
      <c r="H414" s="19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6"/>
      <c r="E415" s="6"/>
      <c r="F415" s="6"/>
      <c r="G415" s="6"/>
      <c r="H415" s="19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6"/>
      <c r="E416" s="6"/>
      <c r="F416" s="6"/>
      <c r="G416" s="6"/>
      <c r="H416" s="19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6"/>
      <c r="E417" s="6"/>
      <c r="F417" s="6"/>
      <c r="G417" s="6"/>
      <c r="H417" s="19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6"/>
      <c r="E418" s="6"/>
      <c r="F418" s="6"/>
      <c r="G418" s="6"/>
      <c r="H418" s="19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6"/>
      <c r="E419" s="6"/>
      <c r="F419" s="6"/>
      <c r="G419" s="6"/>
      <c r="H419" s="19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6"/>
      <c r="E420" s="6"/>
      <c r="F420" s="6"/>
      <c r="G420" s="6"/>
      <c r="H420" s="19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6"/>
      <c r="E421" s="6"/>
      <c r="F421" s="6"/>
      <c r="G421" s="6"/>
      <c r="H421" s="19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6"/>
      <c r="E422" s="6"/>
      <c r="F422" s="6"/>
      <c r="G422" s="6"/>
      <c r="H422" s="19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6"/>
      <c r="E423" s="6"/>
      <c r="F423" s="6"/>
      <c r="G423" s="6"/>
      <c r="H423" s="19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6"/>
      <c r="E424" s="6"/>
      <c r="F424" s="6"/>
      <c r="G424" s="6"/>
      <c r="H424" s="19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6"/>
      <c r="E425" s="6"/>
      <c r="F425" s="6"/>
      <c r="G425" s="6"/>
      <c r="H425" s="19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6"/>
      <c r="E426" s="6"/>
      <c r="F426" s="6"/>
      <c r="G426" s="6"/>
      <c r="H426" s="19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6"/>
      <c r="E427" s="6"/>
      <c r="F427" s="6"/>
      <c r="G427" s="6"/>
      <c r="H427" s="19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6"/>
      <c r="E428" s="6"/>
      <c r="F428" s="6"/>
      <c r="G428" s="6"/>
      <c r="H428" s="19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6"/>
      <c r="E429" s="6"/>
      <c r="F429" s="6"/>
      <c r="G429" s="6"/>
      <c r="H429" s="19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6"/>
      <c r="E430" s="6"/>
      <c r="F430" s="6"/>
      <c r="G430" s="6"/>
      <c r="H430" s="19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6"/>
      <c r="E431" s="6"/>
      <c r="F431" s="6"/>
      <c r="G431" s="6"/>
      <c r="H431" s="19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6"/>
      <c r="E432" s="6"/>
      <c r="F432" s="6"/>
      <c r="G432" s="6"/>
      <c r="H432" s="19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6"/>
      <c r="E433" s="6"/>
      <c r="F433" s="6"/>
      <c r="G433" s="6"/>
      <c r="H433" s="19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6"/>
      <c r="E434" s="6"/>
      <c r="F434" s="6"/>
      <c r="G434" s="6"/>
      <c r="H434" s="19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6"/>
      <c r="E435" s="6"/>
      <c r="F435" s="6"/>
      <c r="G435" s="6"/>
      <c r="H435" s="19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6"/>
      <c r="E436" s="6"/>
      <c r="F436" s="6"/>
      <c r="G436" s="6"/>
      <c r="H436" s="19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6"/>
      <c r="E437" s="6"/>
      <c r="F437" s="6"/>
      <c r="G437" s="6"/>
      <c r="H437" s="19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6"/>
      <c r="E438" s="6"/>
      <c r="F438" s="6"/>
      <c r="G438" s="6"/>
      <c r="H438" s="19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6"/>
      <c r="E439" s="6"/>
      <c r="F439" s="6"/>
      <c r="G439" s="6"/>
      <c r="H439" s="19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6"/>
      <c r="E440" s="6"/>
      <c r="F440" s="6"/>
      <c r="G440" s="6"/>
      <c r="H440" s="19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6"/>
      <c r="E441" s="6"/>
      <c r="F441" s="6"/>
      <c r="G441" s="6"/>
      <c r="H441" s="19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6"/>
      <c r="E442" s="6"/>
      <c r="F442" s="6"/>
      <c r="G442" s="6"/>
      <c r="H442" s="19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6"/>
      <c r="E443" s="6"/>
      <c r="F443" s="6"/>
      <c r="G443" s="6"/>
      <c r="H443" s="19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6"/>
      <c r="E444" s="6"/>
      <c r="F444" s="6"/>
      <c r="G444" s="6"/>
      <c r="H444" s="19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6"/>
      <c r="E445" s="6"/>
      <c r="F445" s="6"/>
      <c r="G445" s="6"/>
      <c r="H445" s="19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6"/>
      <c r="E446" s="6"/>
      <c r="F446" s="6"/>
      <c r="G446" s="6"/>
      <c r="H446" s="19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6"/>
      <c r="E447" s="6"/>
      <c r="F447" s="6"/>
      <c r="G447" s="6"/>
      <c r="H447" s="19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6"/>
      <c r="E448" s="6"/>
      <c r="F448" s="6"/>
      <c r="G448" s="6"/>
      <c r="H448" s="19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6"/>
      <c r="E449" s="6"/>
      <c r="F449" s="6"/>
      <c r="G449" s="6"/>
      <c r="H449" s="19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6"/>
      <c r="E450" s="6"/>
      <c r="F450" s="6"/>
      <c r="G450" s="6"/>
      <c r="H450" s="19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6"/>
      <c r="E451" s="6"/>
      <c r="F451" s="6"/>
      <c r="G451" s="6"/>
      <c r="H451" s="19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6"/>
      <c r="E452" s="6"/>
      <c r="F452" s="6"/>
      <c r="G452" s="6"/>
      <c r="H452" s="19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6"/>
      <c r="E453" s="6"/>
      <c r="F453" s="6"/>
      <c r="G453" s="6"/>
      <c r="H453" s="19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6"/>
      <c r="E454" s="6"/>
      <c r="F454" s="6"/>
      <c r="G454" s="6"/>
      <c r="H454" s="19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6"/>
      <c r="E455" s="6"/>
      <c r="F455" s="6"/>
      <c r="G455" s="6"/>
      <c r="H455" s="19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6"/>
      <c r="E456" s="6"/>
      <c r="F456" s="6"/>
      <c r="G456" s="6"/>
      <c r="H456" s="19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6"/>
      <c r="E457" s="6"/>
      <c r="F457" s="6"/>
      <c r="G457" s="6"/>
      <c r="H457" s="19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6"/>
      <c r="E458" s="6"/>
      <c r="F458" s="6"/>
      <c r="G458" s="6"/>
      <c r="H458" s="19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6"/>
      <c r="E459" s="6"/>
      <c r="F459" s="6"/>
      <c r="G459" s="6"/>
      <c r="H459" s="19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6"/>
      <c r="E460" s="6"/>
      <c r="F460" s="6"/>
      <c r="G460" s="6"/>
      <c r="H460" s="19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6"/>
      <c r="E461" s="6"/>
      <c r="F461" s="6"/>
      <c r="G461" s="6"/>
      <c r="H461" s="19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6"/>
      <c r="E462" s="6"/>
      <c r="F462" s="6"/>
      <c r="G462" s="6"/>
      <c r="H462" s="19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6"/>
      <c r="E463" s="6"/>
      <c r="F463" s="6"/>
      <c r="G463" s="6"/>
      <c r="H463" s="19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6"/>
      <c r="E464" s="6"/>
      <c r="F464" s="6"/>
      <c r="G464" s="6"/>
      <c r="H464" s="19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6"/>
      <c r="E465" s="6"/>
      <c r="F465" s="6"/>
      <c r="G465" s="6"/>
      <c r="H465" s="19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6"/>
      <c r="E466" s="6"/>
      <c r="F466" s="6"/>
      <c r="G466" s="6"/>
      <c r="H466" s="19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6"/>
      <c r="E467" s="6"/>
      <c r="F467" s="6"/>
      <c r="G467" s="6"/>
      <c r="H467" s="19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6"/>
      <c r="E468" s="6"/>
      <c r="F468" s="6"/>
      <c r="G468" s="6"/>
      <c r="H468" s="19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6"/>
      <c r="E469" s="6"/>
      <c r="F469" s="6"/>
      <c r="G469" s="6"/>
      <c r="H469" s="19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6"/>
      <c r="E470" s="6"/>
      <c r="F470" s="6"/>
      <c r="G470" s="6"/>
      <c r="H470" s="19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6"/>
      <c r="E471" s="6"/>
      <c r="F471" s="6"/>
      <c r="G471" s="6"/>
      <c r="H471" s="19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6"/>
      <c r="E472" s="6"/>
      <c r="F472" s="6"/>
      <c r="G472" s="6"/>
      <c r="H472" s="19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6"/>
      <c r="E473" s="6"/>
      <c r="F473" s="6"/>
      <c r="G473" s="6"/>
      <c r="H473" s="19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6"/>
      <c r="E474" s="6"/>
      <c r="F474" s="6"/>
      <c r="G474" s="6"/>
      <c r="H474" s="19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6"/>
      <c r="E475" s="6"/>
      <c r="F475" s="6"/>
      <c r="G475" s="6"/>
      <c r="H475" s="19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6"/>
      <c r="E476" s="6"/>
      <c r="F476" s="6"/>
      <c r="G476" s="6"/>
      <c r="H476" s="19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6"/>
      <c r="E477" s="6"/>
      <c r="F477" s="6"/>
      <c r="G477" s="6"/>
      <c r="H477" s="19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6"/>
      <c r="E478" s="6"/>
      <c r="F478" s="6"/>
      <c r="G478" s="6"/>
      <c r="H478" s="19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6"/>
      <c r="E479" s="6"/>
      <c r="F479" s="6"/>
      <c r="G479" s="6"/>
      <c r="H479" s="19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6"/>
      <c r="E480" s="6"/>
      <c r="F480" s="6"/>
      <c r="G480" s="6"/>
      <c r="H480" s="19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6"/>
      <c r="E481" s="6"/>
      <c r="F481" s="6"/>
      <c r="G481" s="6"/>
      <c r="H481" s="19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6"/>
      <c r="E482" s="6"/>
      <c r="F482" s="6"/>
      <c r="G482" s="6"/>
      <c r="H482" s="19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6"/>
      <c r="E483" s="6"/>
      <c r="F483" s="6"/>
      <c r="G483" s="6"/>
      <c r="H483" s="19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6"/>
      <c r="E484" s="6"/>
      <c r="F484" s="6"/>
      <c r="G484" s="6"/>
      <c r="H484" s="19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6"/>
      <c r="E485" s="6"/>
      <c r="F485" s="6"/>
      <c r="G485" s="6"/>
      <c r="H485" s="19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6"/>
      <c r="E486" s="6"/>
      <c r="F486" s="6"/>
      <c r="G486" s="6"/>
      <c r="H486" s="19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6"/>
      <c r="E487" s="6"/>
      <c r="F487" s="6"/>
      <c r="G487" s="6"/>
      <c r="H487" s="19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6"/>
      <c r="E488" s="6"/>
      <c r="F488" s="6"/>
      <c r="G488" s="6"/>
      <c r="H488" s="19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6"/>
      <c r="E489" s="6"/>
      <c r="F489" s="6"/>
      <c r="G489" s="6"/>
      <c r="H489" s="19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6"/>
      <c r="E490" s="6"/>
      <c r="F490" s="6"/>
      <c r="G490" s="6"/>
      <c r="H490" s="19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6"/>
      <c r="E491" s="6"/>
      <c r="F491" s="6"/>
      <c r="G491" s="6"/>
      <c r="H491" s="19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6"/>
      <c r="E492" s="6"/>
      <c r="F492" s="6"/>
      <c r="G492" s="6"/>
      <c r="H492" s="19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6"/>
      <c r="E493" s="6"/>
      <c r="F493" s="6"/>
      <c r="G493" s="6"/>
      <c r="H493" s="19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6"/>
      <c r="E494" s="6"/>
      <c r="F494" s="6"/>
      <c r="G494" s="6"/>
      <c r="H494" s="19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6"/>
      <c r="E495" s="6"/>
      <c r="F495" s="6"/>
      <c r="G495" s="6"/>
      <c r="H495" s="19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6"/>
      <c r="E496" s="6"/>
      <c r="F496" s="6"/>
      <c r="G496" s="6"/>
      <c r="H496" s="19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6"/>
      <c r="E497" s="6"/>
      <c r="F497" s="6"/>
      <c r="G497" s="6"/>
      <c r="H497" s="19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6"/>
      <c r="E498" s="6"/>
      <c r="F498" s="6"/>
      <c r="G498" s="6"/>
      <c r="H498" s="19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6"/>
      <c r="E499" s="6"/>
      <c r="F499" s="6"/>
      <c r="G499" s="6"/>
      <c r="H499" s="19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6"/>
      <c r="E500" s="6"/>
      <c r="F500" s="6"/>
      <c r="G500" s="6"/>
      <c r="H500" s="19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6"/>
      <c r="E501" s="6"/>
      <c r="F501" s="6"/>
      <c r="G501" s="6"/>
      <c r="H501" s="19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6"/>
      <c r="E502" s="6"/>
      <c r="F502" s="6"/>
      <c r="G502" s="6"/>
      <c r="H502" s="19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6"/>
      <c r="E503" s="6"/>
      <c r="F503" s="6"/>
      <c r="G503" s="6"/>
      <c r="H503" s="19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6"/>
      <c r="E504" s="6"/>
      <c r="F504" s="6"/>
      <c r="G504" s="6"/>
      <c r="H504" s="19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6"/>
      <c r="E505" s="6"/>
      <c r="F505" s="6"/>
      <c r="G505" s="6"/>
      <c r="H505" s="19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6"/>
      <c r="E506" s="6"/>
      <c r="F506" s="6"/>
      <c r="G506" s="6"/>
      <c r="H506" s="19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6"/>
      <c r="E507" s="6"/>
      <c r="F507" s="6"/>
      <c r="G507" s="6"/>
      <c r="H507" s="19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6"/>
      <c r="E508" s="6"/>
      <c r="F508" s="6"/>
      <c r="G508" s="6"/>
      <c r="H508" s="19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6"/>
      <c r="E509" s="6"/>
      <c r="F509" s="6"/>
      <c r="G509" s="6"/>
      <c r="H509" s="19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6"/>
      <c r="E510" s="6"/>
      <c r="F510" s="6"/>
      <c r="G510" s="6"/>
      <c r="H510" s="19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6"/>
      <c r="E511" s="6"/>
      <c r="F511" s="6"/>
      <c r="G511" s="6"/>
      <c r="H511" s="19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6"/>
      <c r="E512" s="6"/>
      <c r="F512" s="6"/>
      <c r="G512" s="6"/>
      <c r="H512" s="19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6"/>
      <c r="E513" s="6"/>
      <c r="F513" s="6"/>
      <c r="G513" s="6"/>
      <c r="H513" s="19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6"/>
      <c r="E514" s="6"/>
      <c r="F514" s="6"/>
      <c r="G514" s="6"/>
      <c r="H514" s="19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6"/>
      <c r="E515" s="6"/>
      <c r="F515" s="6"/>
      <c r="G515" s="6"/>
      <c r="H515" s="19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6"/>
      <c r="E516" s="6"/>
      <c r="F516" s="6"/>
      <c r="G516" s="6"/>
      <c r="H516" s="19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6"/>
      <c r="E517" s="6"/>
      <c r="F517" s="6"/>
      <c r="G517" s="6"/>
      <c r="H517" s="19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6"/>
      <c r="E518" s="6"/>
      <c r="F518" s="6"/>
      <c r="G518" s="6"/>
      <c r="H518" s="19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6"/>
      <c r="E519" s="6"/>
      <c r="F519" s="6"/>
      <c r="G519" s="6"/>
      <c r="H519" s="19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6"/>
      <c r="E520" s="6"/>
      <c r="F520" s="6"/>
      <c r="G520" s="6"/>
      <c r="H520" s="19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6"/>
      <c r="E521" s="6"/>
      <c r="F521" s="6"/>
      <c r="G521" s="6"/>
      <c r="H521" s="19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6"/>
      <c r="E522" s="6"/>
      <c r="F522" s="6"/>
      <c r="G522" s="6"/>
      <c r="H522" s="19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6"/>
      <c r="E523" s="6"/>
      <c r="F523" s="6"/>
      <c r="G523" s="6"/>
      <c r="H523" s="19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6"/>
      <c r="E524" s="6"/>
      <c r="F524" s="6"/>
      <c r="G524" s="6"/>
      <c r="H524" s="19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6"/>
      <c r="E525" s="6"/>
      <c r="F525" s="6"/>
      <c r="G525" s="6"/>
      <c r="H525" s="19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6"/>
      <c r="E526" s="6"/>
      <c r="F526" s="6"/>
      <c r="G526" s="6"/>
      <c r="H526" s="19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6"/>
      <c r="E527" s="6"/>
      <c r="F527" s="6"/>
      <c r="G527" s="6"/>
      <c r="H527" s="19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6"/>
      <c r="E528" s="6"/>
      <c r="F528" s="6"/>
      <c r="G528" s="6"/>
      <c r="H528" s="19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6"/>
      <c r="E529" s="6"/>
      <c r="F529" s="6"/>
      <c r="G529" s="6"/>
      <c r="H529" s="19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6"/>
      <c r="E530" s="6"/>
      <c r="F530" s="6"/>
      <c r="G530" s="6"/>
      <c r="H530" s="19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6"/>
      <c r="E531" s="6"/>
      <c r="F531" s="6"/>
      <c r="G531" s="6"/>
      <c r="H531" s="19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6"/>
      <c r="E532" s="6"/>
      <c r="F532" s="6"/>
      <c r="G532" s="6"/>
      <c r="H532" s="19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6"/>
      <c r="E533" s="6"/>
      <c r="F533" s="6"/>
      <c r="G533" s="6"/>
      <c r="H533" s="19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6"/>
      <c r="E534" s="6"/>
      <c r="F534" s="6"/>
      <c r="G534" s="6"/>
      <c r="H534" s="19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6"/>
      <c r="E535" s="6"/>
      <c r="F535" s="6"/>
      <c r="G535" s="6"/>
      <c r="H535" s="19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6"/>
      <c r="E536" s="6"/>
      <c r="F536" s="6"/>
      <c r="G536" s="6"/>
      <c r="H536" s="19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6"/>
      <c r="E537" s="6"/>
      <c r="F537" s="6"/>
      <c r="G537" s="6"/>
      <c r="H537" s="19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6"/>
      <c r="E538" s="6"/>
      <c r="F538" s="6"/>
      <c r="G538" s="6"/>
      <c r="H538" s="19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6"/>
      <c r="E539" s="6"/>
      <c r="F539" s="6"/>
      <c r="G539" s="6"/>
      <c r="H539" s="19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6"/>
      <c r="E540" s="6"/>
      <c r="F540" s="6"/>
      <c r="G540" s="6"/>
      <c r="H540" s="19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6"/>
      <c r="E541" s="6"/>
      <c r="F541" s="6"/>
      <c r="G541" s="6"/>
      <c r="H541" s="19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6"/>
      <c r="E542" s="6"/>
      <c r="F542" s="6"/>
      <c r="G542" s="6"/>
      <c r="H542" s="19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6"/>
      <c r="E543" s="6"/>
      <c r="F543" s="6"/>
      <c r="G543" s="6"/>
      <c r="H543" s="19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6"/>
      <c r="E544" s="6"/>
      <c r="F544" s="6"/>
      <c r="G544" s="6"/>
      <c r="H544" s="19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6"/>
      <c r="E545" s="6"/>
      <c r="F545" s="6"/>
      <c r="G545" s="6"/>
      <c r="H545" s="19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6"/>
      <c r="E546" s="6"/>
      <c r="F546" s="6"/>
      <c r="G546" s="6"/>
      <c r="H546" s="19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6"/>
      <c r="E547" s="6"/>
      <c r="F547" s="6"/>
      <c r="G547" s="6"/>
      <c r="H547" s="19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6"/>
      <c r="E548" s="6"/>
      <c r="F548" s="6"/>
      <c r="G548" s="6"/>
      <c r="H548" s="19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6"/>
      <c r="E549" s="6"/>
      <c r="F549" s="6"/>
      <c r="G549" s="6"/>
      <c r="H549" s="19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6"/>
      <c r="E550" s="6"/>
      <c r="F550" s="6"/>
      <c r="G550" s="6"/>
      <c r="H550" s="19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6"/>
      <c r="E551" s="6"/>
      <c r="F551" s="6"/>
      <c r="G551" s="6"/>
      <c r="H551" s="19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6"/>
      <c r="E552" s="6"/>
      <c r="F552" s="6"/>
      <c r="G552" s="6"/>
      <c r="H552" s="19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6"/>
      <c r="E553" s="6"/>
      <c r="F553" s="6"/>
      <c r="G553" s="6"/>
      <c r="H553" s="19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6"/>
      <c r="E554" s="6"/>
      <c r="F554" s="6"/>
      <c r="G554" s="6"/>
      <c r="H554" s="19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6"/>
      <c r="E555" s="6"/>
      <c r="F555" s="6"/>
      <c r="G555" s="6"/>
      <c r="H555" s="19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6"/>
      <c r="E556" s="6"/>
      <c r="F556" s="6"/>
      <c r="G556" s="6"/>
      <c r="H556" s="19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6"/>
      <c r="E557" s="6"/>
      <c r="F557" s="6"/>
      <c r="G557" s="6"/>
      <c r="H557" s="19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6"/>
      <c r="E558" s="6"/>
      <c r="F558" s="6"/>
      <c r="G558" s="6"/>
      <c r="H558" s="19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6"/>
      <c r="E559" s="6"/>
      <c r="F559" s="6"/>
      <c r="G559" s="6"/>
      <c r="H559" s="19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6"/>
      <c r="E560" s="6"/>
      <c r="F560" s="6"/>
      <c r="G560" s="6"/>
      <c r="H560" s="19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6"/>
      <c r="E561" s="6"/>
      <c r="F561" s="6"/>
      <c r="G561" s="6"/>
      <c r="H561" s="19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6"/>
      <c r="E562" s="6"/>
      <c r="F562" s="6"/>
      <c r="G562" s="6"/>
      <c r="H562" s="19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6"/>
      <c r="E563" s="6"/>
      <c r="F563" s="6"/>
      <c r="G563" s="6"/>
      <c r="H563" s="19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6"/>
      <c r="E564" s="6"/>
      <c r="F564" s="6"/>
      <c r="G564" s="6"/>
      <c r="H564" s="19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6"/>
      <c r="E565" s="6"/>
      <c r="F565" s="6"/>
      <c r="G565" s="6"/>
      <c r="H565" s="19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6"/>
      <c r="E566" s="6"/>
      <c r="F566" s="6"/>
      <c r="G566" s="6"/>
      <c r="H566" s="19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6"/>
      <c r="E567" s="6"/>
      <c r="F567" s="6"/>
      <c r="G567" s="6"/>
      <c r="H567" s="19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6"/>
      <c r="E568" s="6"/>
      <c r="F568" s="6"/>
      <c r="G568" s="6"/>
      <c r="H568" s="19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6"/>
      <c r="E569" s="6"/>
      <c r="F569" s="6"/>
      <c r="G569" s="6"/>
      <c r="H569" s="19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6"/>
      <c r="E570" s="6"/>
      <c r="F570" s="6"/>
      <c r="G570" s="6"/>
      <c r="H570" s="19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6"/>
      <c r="E571" s="6"/>
      <c r="F571" s="6"/>
      <c r="G571" s="6"/>
      <c r="H571" s="19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6"/>
      <c r="E572" s="6"/>
      <c r="F572" s="6"/>
      <c r="G572" s="6"/>
      <c r="H572" s="19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6"/>
      <c r="E573" s="6"/>
      <c r="F573" s="6"/>
      <c r="G573" s="6"/>
      <c r="H573" s="19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6"/>
      <c r="E574" s="6"/>
      <c r="F574" s="6"/>
      <c r="G574" s="6"/>
      <c r="H574" s="19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6"/>
      <c r="E575" s="6"/>
      <c r="F575" s="6"/>
      <c r="G575" s="6"/>
      <c r="H575" s="19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6"/>
      <c r="E576" s="6"/>
      <c r="F576" s="6"/>
      <c r="G576" s="6"/>
      <c r="H576" s="19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6"/>
      <c r="E577" s="6"/>
      <c r="F577" s="6"/>
      <c r="G577" s="6"/>
      <c r="H577" s="19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6"/>
      <c r="E578" s="6"/>
      <c r="F578" s="6"/>
      <c r="G578" s="6"/>
      <c r="H578" s="19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6"/>
      <c r="E579" s="6"/>
      <c r="F579" s="6"/>
      <c r="G579" s="6"/>
      <c r="H579" s="19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6"/>
      <c r="E580" s="6"/>
      <c r="F580" s="6"/>
      <c r="G580" s="6"/>
      <c r="H580" s="19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6"/>
      <c r="E581" s="6"/>
      <c r="F581" s="6"/>
      <c r="G581" s="6"/>
      <c r="H581" s="19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6"/>
      <c r="E582" s="6"/>
      <c r="F582" s="6"/>
      <c r="G582" s="6"/>
      <c r="H582" s="19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6"/>
      <c r="E583" s="6"/>
      <c r="F583" s="6"/>
      <c r="G583" s="6"/>
      <c r="H583" s="19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6"/>
      <c r="E584" s="6"/>
      <c r="F584" s="6"/>
      <c r="G584" s="6"/>
      <c r="H584" s="19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6"/>
      <c r="E585" s="6"/>
      <c r="F585" s="6"/>
      <c r="G585" s="6"/>
      <c r="H585" s="19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6"/>
      <c r="E586" s="6"/>
      <c r="F586" s="6"/>
      <c r="G586" s="6"/>
      <c r="H586" s="19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6"/>
      <c r="E587" s="6"/>
      <c r="F587" s="6"/>
      <c r="G587" s="6"/>
      <c r="H587" s="19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6"/>
      <c r="E588" s="6"/>
      <c r="F588" s="6"/>
      <c r="G588" s="6"/>
      <c r="H588" s="19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6"/>
      <c r="E589" s="6"/>
      <c r="F589" s="6"/>
      <c r="G589" s="6"/>
      <c r="H589" s="19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6"/>
      <c r="E590" s="6"/>
      <c r="F590" s="6"/>
      <c r="G590" s="6"/>
      <c r="H590" s="19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6"/>
      <c r="E591" s="6"/>
      <c r="F591" s="6"/>
      <c r="G591" s="6"/>
      <c r="H591" s="19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6"/>
      <c r="E592" s="6"/>
      <c r="F592" s="6"/>
      <c r="G592" s="6"/>
      <c r="H592" s="19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6"/>
      <c r="E593" s="6"/>
      <c r="F593" s="6"/>
      <c r="G593" s="6"/>
      <c r="H593" s="19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6"/>
      <c r="E594" s="6"/>
      <c r="F594" s="6"/>
      <c r="G594" s="6"/>
      <c r="H594" s="19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6"/>
      <c r="E595" s="6"/>
      <c r="F595" s="6"/>
      <c r="G595" s="6"/>
      <c r="H595" s="19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6"/>
      <c r="E596" s="6"/>
      <c r="F596" s="6"/>
      <c r="G596" s="6"/>
      <c r="H596" s="19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6"/>
      <c r="E597" s="6"/>
      <c r="F597" s="6"/>
      <c r="G597" s="6"/>
      <c r="H597" s="19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6"/>
      <c r="E598" s="6"/>
      <c r="F598" s="6"/>
      <c r="G598" s="6"/>
      <c r="H598" s="19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6"/>
      <c r="E599" s="6"/>
      <c r="F599" s="6"/>
      <c r="G599" s="6"/>
      <c r="H599" s="19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6"/>
      <c r="E600" s="6"/>
      <c r="F600" s="6"/>
      <c r="G600" s="6"/>
      <c r="H600" s="19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6"/>
      <c r="E601" s="6"/>
      <c r="F601" s="6"/>
      <c r="G601" s="6"/>
      <c r="H601" s="19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6"/>
      <c r="E602" s="6"/>
      <c r="F602" s="6"/>
      <c r="G602" s="6"/>
      <c r="H602" s="19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6"/>
      <c r="E603" s="6"/>
      <c r="F603" s="6"/>
      <c r="G603" s="6"/>
      <c r="H603" s="19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6"/>
      <c r="E604" s="6"/>
      <c r="F604" s="6"/>
      <c r="G604" s="6"/>
      <c r="H604" s="19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6"/>
      <c r="E605" s="6"/>
      <c r="F605" s="6"/>
      <c r="G605" s="6"/>
      <c r="H605" s="19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6"/>
      <c r="E606" s="6"/>
      <c r="F606" s="6"/>
      <c r="G606" s="6"/>
      <c r="H606" s="19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6"/>
      <c r="E607" s="6"/>
      <c r="F607" s="6"/>
      <c r="G607" s="6"/>
      <c r="H607" s="19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6"/>
      <c r="E608" s="6"/>
      <c r="F608" s="6"/>
      <c r="G608" s="6"/>
      <c r="H608" s="19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6"/>
      <c r="E609" s="6"/>
      <c r="F609" s="6"/>
      <c r="G609" s="6"/>
      <c r="H609" s="19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6"/>
      <c r="E610" s="6"/>
      <c r="F610" s="6"/>
      <c r="G610" s="6"/>
      <c r="H610" s="19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6"/>
      <c r="E611" s="6"/>
      <c r="F611" s="6"/>
      <c r="G611" s="6"/>
      <c r="H611" s="19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6"/>
      <c r="E612" s="6"/>
      <c r="F612" s="6"/>
      <c r="G612" s="6"/>
      <c r="H612" s="19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6"/>
      <c r="E613" s="6"/>
      <c r="F613" s="6"/>
      <c r="G613" s="6"/>
      <c r="H613" s="19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6"/>
      <c r="E614" s="6"/>
      <c r="F614" s="6"/>
      <c r="G614" s="6"/>
      <c r="H614" s="19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6"/>
      <c r="E615" s="6"/>
      <c r="F615" s="6"/>
      <c r="G615" s="6"/>
      <c r="H615" s="19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6"/>
      <c r="E616" s="6"/>
      <c r="F616" s="6"/>
      <c r="G616" s="6"/>
      <c r="H616" s="19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6"/>
      <c r="E617" s="6"/>
      <c r="F617" s="6"/>
      <c r="G617" s="6"/>
      <c r="H617" s="19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6"/>
      <c r="E618" s="6"/>
      <c r="F618" s="6"/>
      <c r="G618" s="6"/>
      <c r="H618" s="19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6"/>
      <c r="E619" s="6"/>
      <c r="F619" s="6"/>
      <c r="G619" s="6"/>
      <c r="H619" s="19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6"/>
      <c r="E620" s="6"/>
      <c r="F620" s="6"/>
      <c r="G620" s="6"/>
      <c r="H620" s="19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6"/>
      <c r="E621" s="6"/>
      <c r="F621" s="6"/>
      <c r="G621" s="6"/>
      <c r="H621" s="19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6"/>
      <c r="E622" s="6"/>
      <c r="F622" s="6"/>
      <c r="G622" s="6"/>
      <c r="H622" s="19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6"/>
      <c r="E623" s="6"/>
      <c r="F623" s="6"/>
      <c r="G623" s="6"/>
      <c r="H623" s="19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6"/>
      <c r="E624" s="6"/>
      <c r="F624" s="6"/>
      <c r="G624" s="6"/>
      <c r="H624" s="19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6"/>
      <c r="E625" s="6"/>
      <c r="F625" s="6"/>
      <c r="G625" s="6"/>
      <c r="H625" s="19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6"/>
      <c r="E626" s="6"/>
      <c r="F626" s="6"/>
      <c r="G626" s="6"/>
      <c r="H626" s="19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6"/>
      <c r="E627" s="6"/>
      <c r="F627" s="6"/>
      <c r="G627" s="6"/>
      <c r="H627" s="19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6"/>
      <c r="E628" s="6"/>
      <c r="F628" s="6"/>
      <c r="G628" s="6"/>
      <c r="H628" s="19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6"/>
      <c r="E629" s="6"/>
      <c r="F629" s="6"/>
      <c r="G629" s="6"/>
      <c r="H629" s="19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6"/>
      <c r="E630" s="6"/>
      <c r="F630" s="6"/>
      <c r="G630" s="6"/>
      <c r="H630" s="19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6"/>
      <c r="E631" s="6"/>
      <c r="F631" s="6"/>
      <c r="G631" s="6"/>
      <c r="H631" s="19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6"/>
      <c r="E632" s="6"/>
      <c r="F632" s="6"/>
      <c r="G632" s="6"/>
      <c r="H632" s="19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6"/>
      <c r="E633" s="6"/>
      <c r="F633" s="6"/>
      <c r="G633" s="6"/>
      <c r="H633" s="19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6"/>
      <c r="E634" s="6"/>
      <c r="F634" s="6"/>
      <c r="G634" s="6"/>
      <c r="H634" s="19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6"/>
      <c r="E635" s="6"/>
      <c r="F635" s="6"/>
      <c r="G635" s="6"/>
      <c r="H635" s="19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6"/>
      <c r="E636" s="6"/>
      <c r="F636" s="6"/>
      <c r="G636" s="6"/>
      <c r="H636" s="19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6"/>
      <c r="E637" s="6"/>
      <c r="F637" s="6"/>
      <c r="G637" s="6"/>
      <c r="H637" s="19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6"/>
      <c r="E638" s="6"/>
      <c r="F638" s="6"/>
      <c r="G638" s="6"/>
      <c r="H638" s="19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6"/>
      <c r="E639" s="6"/>
      <c r="F639" s="6"/>
      <c r="G639" s="6"/>
      <c r="H639" s="19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6"/>
      <c r="E640" s="6"/>
      <c r="F640" s="6"/>
      <c r="G640" s="6"/>
      <c r="H640" s="19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6"/>
      <c r="E641" s="6"/>
      <c r="F641" s="6"/>
      <c r="G641" s="6"/>
      <c r="H641" s="19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6"/>
      <c r="E642" s="6"/>
      <c r="F642" s="6"/>
      <c r="G642" s="6"/>
      <c r="H642" s="19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6"/>
      <c r="E643" s="6"/>
      <c r="F643" s="6"/>
      <c r="G643" s="6"/>
      <c r="H643" s="19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6"/>
      <c r="E644" s="6"/>
      <c r="F644" s="6"/>
      <c r="G644" s="6"/>
      <c r="H644" s="19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6"/>
      <c r="E645" s="6"/>
      <c r="F645" s="6"/>
      <c r="G645" s="6"/>
      <c r="H645" s="19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6"/>
      <c r="E646" s="6"/>
      <c r="F646" s="6"/>
      <c r="G646" s="6"/>
      <c r="H646" s="19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6"/>
      <c r="E647" s="6"/>
      <c r="F647" s="6"/>
      <c r="G647" s="6"/>
      <c r="H647" s="19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6"/>
      <c r="E648" s="6"/>
      <c r="F648" s="6"/>
      <c r="G648" s="6"/>
      <c r="H648" s="19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6"/>
      <c r="E649" s="6"/>
      <c r="F649" s="6"/>
      <c r="G649" s="6"/>
      <c r="H649" s="19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6"/>
      <c r="E650" s="6"/>
      <c r="F650" s="6"/>
      <c r="G650" s="6"/>
      <c r="H650" s="19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6"/>
      <c r="E651" s="6"/>
      <c r="F651" s="6"/>
      <c r="G651" s="6"/>
      <c r="H651" s="19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6"/>
      <c r="E652" s="6"/>
      <c r="F652" s="6"/>
      <c r="G652" s="6"/>
      <c r="H652" s="19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6"/>
      <c r="E653" s="6"/>
      <c r="F653" s="6"/>
      <c r="G653" s="6"/>
      <c r="H653" s="19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6"/>
      <c r="E654" s="6"/>
      <c r="F654" s="6"/>
      <c r="G654" s="6"/>
      <c r="H654" s="19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6"/>
      <c r="E655" s="6"/>
      <c r="F655" s="6"/>
      <c r="G655" s="6"/>
      <c r="H655" s="19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6"/>
      <c r="E656" s="6"/>
      <c r="F656" s="6"/>
      <c r="G656" s="6"/>
      <c r="H656" s="19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6"/>
      <c r="E657" s="6"/>
      <c r="F657" s="6"/>
      <c r="G657" s="6"/>
      <c r="H657" s="19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6"/>
      <c r="E658" s="6"/>
      <c r="F658" s="6"/>
      <c r="G658" s="6"/>
      <c r="H658" s="19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6"/>
      <c r="E659" s="6"/>
      <c r="F659" s="6"/>
      <c r="G659" s="6"/>
      <c r="H659" s="19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6"/>
      <c r="E660" s="6"/>
      <c r="F660" s="6"/>
      <c r="G660" s="6"/>
      <c r="H660" s="19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6"/>
      <c r="E661" s="6"/>
      <c r="F661" s="6"/>
      <c r="G661" s="6"/>
      <c r="H661" s="19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6"/>
      <c r="E662" s="6"/>
      <c r="F662" s="6"/>
      <c r="G662" s="6"/>
      <c r="H662" s="19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6"/>
      <c r="E663" s="6"/>
      <c r="F663" s="6"/>
      <c r="G663" s="6"/>
      <c r="H663" s="19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6"/>
      <c r="E664" s="6"/>
      <c r="F664" s="6"/>
      <c r="G664" s="6"/>
      <c r="H664" s="19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6"/>
      <c r="E665" s="6"/>
      <c r="F665" s="6"/>
      <c r="G665" s="6"/>
      <c r="H665" s="19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6"/>
      <c r="E666" s="6"/>
      <c r="F666" s="6"/>
      <c r="G666" s="6"/>
      <c r="H666" s="19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6"/>
      <c r="E667" s="6"/>
      <c r="F667" s="6"/>
      <c r="G667" s="6"/>
      <c r="H667" s="19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6"/>
      <c r="E668" s="6"/>
      <c r="F668" s="6"/>
      <c r="G668" s="6"/>
      <c r="H668" s="19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6"/>
      <c r="E669" s="6"/>
      <c r="F669" s="6"/>
      <c r="G669" s="6"/>
      <c r="H669" s="19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6"/>
      <c r="E670" s="6"/>
      <c r="F670" s="6"/>
      <c r="G670" s="6"/>
      <c r="H670" s="19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6"/>
      <c r="E671" s="6"/>
      <c r="F671" s="6"/>
      <c r="G671" s="6"/>
      <c r="H671" s="19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6"/>
      <c r="E672" s="6"/>
      <c r="F672" s="6"/>
      <c r="G672" s="6"/>
      <c r="H672" s="19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6"/>
      <c r="E673" s="6"/>
      <c r="F673" s="6"/>
      <c r="G673" s="6"/>
      <c r="H673" s="19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6"/>
      <c r="E674" s="6"/>
      <c r="F674" s="6"/>
      <c r="G674" s="6"/>
      <c r="H674" s="19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6"/>
      <c r="E675" s="6"/>
      <c r="F675" s="6"/>
      <c r="G675" s="6"/>
      <c r="H675" s="19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6"/>
      <c r="E676" s="6"/>
      <c r="F676" s="6"/>
      <c r="G676" s="6"/>
      <c r="H676" s="19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6"/>
      <c r="E677" s="6"/>
      <c r="F677" s="6"/>
      <c r="G677" s="6"/>
      <c r="H677" s="19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6"/>
      <c r="E678" s="6"/>
      <c r="F678" s="6"/>
      <c r="G678" s="6"/>
      <c r="H678" s="19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6"/>
      <c r="E679" s="6"/>
      <c r="F679" s="6"/>
      <c r="G679" s="6"/>
      <c r="H679" s="19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6"/>
      <c r="E680" s="6"/>
      <c r="F680" s="6"/>
      <c r="G680" s="6"/>
      <c r="H680" s="19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6"/>
      <c r="E681" s="6"/>
      <c r="F681" s="6"/>
      <c r="G681" s="6"/>
      <c r="H681" s="19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6"/>
      <c r="E682" s="6"/>
      <c r="F682" s="6"/>
      <c r="G682" s="6"/>
      <c r="H682" s="19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6"/>
      <c r="E683" s="6"/>
      <c r="F683" s="6"/>
      <c r="G683" s="6"/>
      <c r="H683" s="19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6"/>
      <c r="E684" s="6"/>
      <c r="F684" s="6"/>
      <c r="G684" s="6"/>
      <c r="H684" s="19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6"/>
      <c r="E685" s="6"/>
      <c r="F685" s="6"/>
      <c r="G685" s="6"/>
      <c r="H685" s="19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6"/>
      <c r="E686" s="6"/>
      <c r="F686" s="6"/>
      <c r="G686" s="6"/>
      <c r="H686" s="19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6"/>
      <c r="E687" s="6"/>
      <c r="F687" s="6"/>
      <c r="G687" s="6"/>
      <c r="H687" s="19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6"/>
      <c r="E688" s="6"/>
      <c r="F688" s="6"/>
      <c r="G688" s="6"/>
      <c r="H688" s="19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6"/>
      <c r="E689" s="6"/>
      <c r="F689" s="6"/>
      <c r="G689" s="6"/>
      <c r="H689" s="19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6"/>
      <c r="E690" s="6"/>
      <c r="F690" s="6"/>
      <c r="G690" s="6"/>
      <c r="H690" s="19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6"/>
      <c r="E691" s="6"/>
      <c r="F691" s="6"/>
      <c r="G691" s="6"/>
      <c r="H691" s="19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6"/>
      <c r="E692" s="6"/>
      <c r="F692" s="6"/>
      <c r="G692" s="6"/>
      <c r="H692" s="19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6"/>
      <c r="E693" s="6"/>
      <c r="F693" s="6"/>
      <c r="G693" s="6"/>
      <c r="H693" s="19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6"/>
      <c r="E694" s="6"/>
      <c r="F694" s="6"/>
      <c r="G694" s="6"/>
      <c r="H694" s="19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6"/>
      <c r="E695" s="6"/>
      <c r="F695" s="6"/>
      <c r="G695" s="6"/>
      <c r="H695" s="19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6"/>
      <c r="E696" s="6"/>
      <c r="F696" s="6"/>
      <c r="G696" s="6"/>
      <c r="H696" s="19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6"/>
      <c r="E697" s="6"/>
      <c r="F697" s="6"/>
      <c r="G697" s="6"/>
      <c r="H697" s="19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6"/>
      <c r="E698" s="6"/>
      <c r="F698" s="6"/>
      <c r="G698" s="6"/>
      <c r="H698" s="19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6"/>
      <c r="E699" s="6"/>
      <c r="F699" s="6"/>
      <c r="G699" s="6"/>
      <c r="H699" s="19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6"/>
      <c r="E700" s="6"/>
      <c r="F700" s="6"/>
      <c r="G700" s="6"/>
      <c r="H700" s="19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6"/>
      <c r="E701" s="6"/>
      <c r="F701" s="6"/>
      <c r="G701" s="6"/>
      <c r="H701" s="19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6"/>
      <c r="E702" s="6"/>
      <c r="F702" s="6"/>
      <c r="G702" s="6"/>
      <c r="H702" s="19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6"/>
      <c r="E703" s="6"/>
      <c r="F703" s="6"/>
      <c r="G703" s="6"/>
      <c r="H703" s="19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6"/>
      <c r="E704" s="6"/>
      <c r="F704" s="6"/>
      <c r="G704" s="6"/>
      <c r="H704" s="19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6"/>
      <c r="E705" s="6"/>
      <c r="F705" s="6"/>
      <c r="G705" s="6"/>
      <c r="H705" s="19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6"/>
      <c r="E706" s="6"/>
      <c r="F706" s="6"/>
      <c r="G706" s="6"/>
      <c r="H706" s="19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6"/>
      <c r="E707" s="6"/>
      <c r="F707" s="6"/>
      <c r="G707" s="6"/>
      <c r="H707" s="19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6"/>
      <c r="E708" s="6"/>
      <c r="F708" s="6"/>
      <c r="G708" s="6"/>
      <c r="H708" s="19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6"/>
      <c r="E709" s="6"/>
      <c r="F709" s="6"/>
      <c r="G709" s="6"/>
      <c r="H709" s="19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6"/>
      <c r="E710" s="6"/>
      <c r="F710" s="6"/>
      <c r="G710" s="6"/>
      <c r="H710" s="19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6"/>
      <c r="E711" s="6"/>
      <c r="F711" s="6"/>
      <c r="G711" s="6"/>
      <c r="H711" s="19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6"/>
      <c r="E712" s="6"/>
      <c r="F712" s="6"/>
      <c r="G712" s="6"/>
      <c r="H712" s="19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6"/>
      <c r="E713" s="6"/>
      <c r="F713" s="6"/>
      <c r="G713" s="6"/>
      <c r="H713" s="19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6"/>
      <c r="E714" s="6"/>
      <c r="F714" s="6"/>
      <c r="G714" s="6"/>
      <c r="H714" s="19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6"/>
      <c r="E715" s="6"/>
      <c r="F715" s="6"/>
      <c r="G715" s="6"/>
      <c r="H715" s="19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6"/>
      <c r="E716" s="6"/>
      <c r="F716" s="6"/>
      <c r="G716" s="6"/>
      <c r="H716" s="19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6"/>
      <c r="E717" s="6"/>
      <c r="F717" s="6"/>
      <c r="G717" s="6"/>
      <c r="H717" s="19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6"/>
      <c r="E718" s="6"/>
      <c r="F718" s="6"/>
      <c r="G718" s="6"/>
      <c r="H718" s="19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6"/>
      <c r="E719" s="6"/>
      <c r="F719" s="6"/>
      <c r="G719" s="6"/>
      <c r="H719" s="19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6"/>
      <c r="E720" s="6"/>
      <c r="F720" s="6"/>
      <c r="G720" s="6"/>
      <c r="H720" s="19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6"/>
      <c r="E721" s="6"/>
      <c r="F721" s="6"/>
      <c r="G721" s="6"/>
      <c r="H721" s="19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6"/>
      <c r="E722" s="6"/>
      <c r="F722" s="6"/>
      <c r="G722" s="6"/>
      <c r="H722" s="19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6"/>
      <c r="E723" s="6"/>
      <c r="F723" s="6"/>
      <c r="G723" s="6"/>
      <c r="H723" s="19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6"/>
      <c r="E724" s="6"/>
      <c r="F724" s="6"/>
      <c r="G724" s="6"/>
      <c r="H724" s="19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6"/>
      <c r="E725" s="6"/>
      <c r="F725" s="6"/>
      <c r="G725" s="6"/>
      <c r="H725" s="19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6"/>
      <c r="E726" s="6"/>
      <c r="F726" s="6"/>
      <c r="G726" s="6"/>
      <c r="H726" s="19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6"/>
      <c r="E727" s="6"/>
      <c r="F727" s="6"/>
      <c r="G727" s="6"/>
      <c r="H727" s="19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6"/>
      <c r="E728" s="6"/>
      <c r="F728" s="6"/>
      <c r="G728" s="6"/>
      <c r="H728" s="19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6"/>
      <c r="E729" s="6"/>
      <c r="F729" s="6"/>
      <c r="G729" s="6"/>
      <c r="H729" s="19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6"/>
      <c r="E730" s="6"/>
      <c r="F730" s="6"/>
      <c r="G730" s="6"/>
      <c r="H730" s="19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6"/>
      <c r="E731" s="6"/>
      <c r="F731" s="6"/>
      <c r="G731" s="6"/>
      <c r="H731" s="19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6"/>
      <c r="E732" s="6"/>
      <c r="F732" s="6"/>
      <c r="G732" s="6"/>
      <c r="H732" s="19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6"/>
      <c r="E733" s="6"/>
      <c r="F733" s="6"/>
      <c r="G733" s="6"/>
      <c r="H733" s="19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6"/>
      <c r="E734" s="6"/>
      <c r="F734" s="6"/>
      <c r="G734" s="6"/>
      <c r="H734" s="19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6"/>
      <c r="E735" s="6"/>
      <c r="F735" s="6"/>
      <c r="G735" s="6"/>
      <c r="H735" s="19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6"/>
      <c r="E736" s="6"/>
      <c r="F736" s="6"/>
      <c r="G736" s="6"/>
      <c r="H736" s="19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6"/>
      <c r="E737" s="6"/>
      <c r="F737" s="6"/>
      <c r="G737" s="6"/>
      <c r="H737" s="19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6"/>
      <c r="E738" s="6"/>
      <c r="F738" s="6"/>
      <c r="G738" s="6"/>
      <c r="H738" s="19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6"/>
      <c r="E739" s="6"/>
      <c r="F739" s="6"/>
      <c r="G739" s="6"/>
      <c r="H739" s="19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6"/>
      <c r="E740" s="6"/>
      <c r="F740" s="6"/>
      <c r="G740" s="6"/>
      <c r="H740" s="19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6"/>
      <c r="E741" s="6"/>
      <c r="F741" s="6"/>
      <c r="G741" s="6"/>
      <c r="H741" s="19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6"/>
      <c r="E742" s="6"/>
      <c r="F742" s="6"/>
      <c r="G742" s="6"/>
      <c r="H742" s="19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6"/>
      <c r="E743" s="6"/>
      <c r="F743" s="6"/>
      <c r="G743" s="6"/>
      <c r="H743" s="19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6"/>
      <c r="E744" s="6"/>
      <c r="F744" s="6"/>
      <c r="G744" s="6"/>
      <c r="H744" s="19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6"/>
      <c r="E745" s="6"/>
      <c r="F745" s="6"/>
      <c r="G745" s="6"/>
      <c r="H745" s="19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6"/>
      <c r="E746" s="6"/>
      <c r="F746" s="6"/>
      <c r="G746" s="6"/>
      <c r="H746" s="19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6"/>
      <c r="E747" s="6"/>
      <c r="F747" s="6"/>
      <c r="G747" s="6"/>
      <c r="H747" s="19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6"/>
      <c r="E748" s="6"/>
      <c r="F748" s="6"/>
      <c r="G748" s="6"/>
      <c r="H748" s="19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6"/>
      <c r="E749" s="6"/>
      <c r="F749" s="6"/>
      <c r="G749" s="6"/>
      <c r="H749" s="19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6"/>
      <c r="E750" s="6"/>
      <c r="F750" s="6"/>
      <c r="G750" s="6"/>
      <c r="H750" s="19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6"/>
      <c r="E751" s="6"/>
      <c r="F751" s="6"/>
      <c r="G751" s="6"/>
      <c r="H751" s="19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6"/>
      <c r="E752" s="6"/>
      <c r="F752" s="6"/>
      <c r="G752" s="6"/>
      <c r="H752" s="19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6"/>
      <c r="E753" s="6"/>
      <c r="F753" s="6"/>
      <c r="G753" s="6"/>
      <c r="H753" s="19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6"/>
      <c r="E754" s="6"/>
      <c r="F754" s="6"/>
      <c r="G754" s="6"/>
      <c r="H754" s="19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6"/>
      <c r="E755" s="6"/>
      <c r="F755" s="6"/>
      <c r="G755" s="6"/>
      <c r="H755" s="19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6"/>
      <c r="E756" s="6"/>
      <c r="F756" s="6"/>
      <c r="G756" s="6"/>
      <c r="H756" s="19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6"/>
      <c r="E757" s="6"/>
      <c r="F757" s="6"/>
      <c r="G757" s="6"/>
      <c r="H757" s="19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6"/>
      <c r="E758" s="6"/>
      <c r="F758" s="6"/>
      <c r="G758" s="6"/>
      <c r="H758" s="19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6"/>
      <c r="E759" s="6"/>
      <c r="F759" s="6"/>
      <c r="G759" s="6"/>
      <c r="H759" s="19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6"/>
      <c r="E760" s="6"/>
      <c r="F760" s="6"/>
      <c r="G760" s="6"/>
      <c r="H760" s="19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6"/>
      <c r="E761" s="6"/>
      <c r="F761" s="6"/>
      <c r="G761" s="6"/>
      <c r="H761" s="19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6"/>
      <c r="E762" s="6"/>
      <c r="F762" s="6"/>
      <c r="G762" s="6"/>
      <c r="H762" s="19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6"/>
      <c r="E763" s="6"/>
      <c r="F763" s="6"/>
      <c r="G763" s="6"/>
      <c r="H763" s="19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6"/>
      <c r="E764" s="6"/>
      <c r="F764" s="6"/>
      <c r="G764" s="6"/>
      <c r="H764" s="19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6"/>
      <c r="E765" s="6"/>
      <c r="F765" s="6"/>
      <c r="G765" s="6"/>
      <c r="H765" s="19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6"/>
      <c r="E766" s="6"/>
      <c r="F766" s="6"/>
      <c r="G766" s="6"/>
      <c r="H766" s="19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6"/>
      <c r="E767" s="6"/>
      <c r="F767" s="6"/>
      <c r="G767" s="6"/>
      <c r="H767" s="19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6"/>
      <c r="E768" s="6"/>
      <c r="F768" s="6"/>
      <c r="G768" s="6"/>
      <c r="H768" s="19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6"/>
      <c r="E769" s="6"/>
      <c r="F769" s="6"/>
      <c r="G769" s="6"/>
      <c r="H769" s="19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6"/>
      <c r="E770" s="6"/>
      <c r="F770" s="6"/>
      <c r="G770" s="6"/>
      <c r="H770" s="19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6"/>
      <c r="E771" s="6"/>
      <c r="F771" s="6"/>
      <c r="G771" s="6"/>
      <c r="H771" s="19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6"/>
      <c r="E772" s="6"/>
      <c r="F772" s="6"/>
      <c r="G772" s="6"/>
      <c r="H772" s="19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6"/>
      <c r="E773" s="6"/>
      <c r="F773" s="6"/>
      <c r="G773" s="6"/>
      <c r="H773" s="19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6"/>
      <c r="E774" s="6"/>
      <c r="F774" s="6"/>
      <c r="G774" s="6"/>
      <c r="H774" s="19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6"/>
      <c r="E775" s="6"/>
      <c r="F775" s="6"/>
      <c r="G775" s="6"/>
      <c r="H775" s="19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6"/>
      <c r="E776" s="6"/>
      <c r="F776" s="6"/>
      <c r="G776" s="6"/>
      <c r="H776" s="19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6"/>
      <c r="E777" s="6"/>
      <c r="F777" s="6"/>
      <c r="G777" s="6"/>
      <c r="H777" s="19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6"/>
      <c r="E778" s="6"/>
      <c r="F778" s="6"/>
      <c r="G778" s="6"/>
      <c r="H778" s="19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6"/>
      <c r="E779" s="6"/>
      <c r="F779" s="6"/>
      <c r="G779" s="6"/>
      <c r="H779" s="19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6"/>
      <c r="E780" s="6"/>
      <c r="F780" s="6"/>
      <c r="G780" s="6"/>
      <c r="H780" s="19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6"/>
      <c r="E781" s="6"/>
      <c r="F781" s="6"/>
      <c r="G781" s="6"/>
      <c r="H781" s="19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6"/>
      <c r="E782" s="6"/>
      <c r="F782" s="6"/>
      <c r="G782" s="6"/>
      <c r="H782" s="19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6"/>
      <c r="E783" s="6"/>
      <c r="F783" s="6"/>
      <c r="G783" s="6"/>
      <c r="H783" s="19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6"/>
      <c r="E784" s="6"/>
      <c r="F784" s="6"/>
      <c r="G784" s="6"/>
      <c r="H784" s="19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6"/>
      <c r="E785" s="6"/>
      <c r="F785" s="6"/>
      <c r="G785" s="6"/>
      <c r="H785" s="19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6"/>
      <c r="E786" s="6"/>
      <c r="F786" s="6"/>
      <c r="G786" s="6"/>
      <c r="H786" s="19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6"/>
      <c r="E787" s="6"/>
      <c r="F787" s="6"/>
      <c r="G787" s="6"/>
      <c r="H787" s="19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6"/>
      <c r="E788" s="6"/>
      <c r="F788" s="6"/>
      <c r="G788" s="6"/>
      <c r="H788" s="19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6"/>
      <c r="E789" s="6"/>
      <c r="F789" s="6"/>
      <c r="G789" s="6"/>
      <c r="H789" s="19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6"/>
      <c r="E790" s="6"/>
      <c r="F790" s="6"/>
      <c r="G790" s="6"/>
      <c r="H790" s="19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6"/>
      <c r="E791" s="6"/>
      <c r="F791" s="6"/>
      <c r="G791" s="6"/>
      <c r="H791" s="19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6"/>
      <c r="E792" s="6"/>
      <c r="F792" s="6"/>
      <c r="G792" s="6"/>
      <c r="H792" s="19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6"/>
      <c r="E793" s="6"/>
      <c r="F793" s="6"/>
      <c r="G793" s="6"/>
      <c r="H793" s="19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6"/>
      <c r="E794" s="6"/>
      <c r="F794" s="6"/>
      <c r="G794" s="6"/>
      <c r="H794" s="19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6"/>
      <c r="E795" s="6"/>
      <c r="F795" s="6"/>
      <c r="G795" s="6"/>
      <c r="H795" s="19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6"/>
      <c r="E796" s="6"/>
      <c r="F796" s="6"/>
      <c r="G796" s="6"/>
      <c r="H796" s="19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6"/>
      <c r="E797" s="6"/>
      <c r="F797" s="6"/>
      <c r="G797" s="6"/>
      <c r="H797" s="19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6"/>
      <c r="E798" s="6"/>
      <c r="F798" s="6"/>
      <c r="G798" s="6"/>
      <c r="H798" s="19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6"/>
      <c r="E799" s="6"/>
      <c r="F799" s="6"/>
      <c r="G799" s="6"/>
      <c r="H799" s="19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6"/>
      <c r="E800" s="6"/>
      <c r="F800" s="6"/>
      <c r="G800" s="6"/>
      <c r="H800" s="19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6"/>
      <c r="E801" s="6"/>
      <c r="F801" s="6"/>
      <c r="G801" s="6"/>
      <c r="H801" s="19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6"/>
      <c r="E802" s="6"/>
      <c r="F802" s="6"/>
      <c r="G802" s="6"/>
      <c r="H802" s="19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6"/>
      <c r="E803" s="6"/>
      <c r="F803" s="6"/>
      <c r="G803" s="6"/>
      <c r="H803" s="19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6"/>
      <c r="E804" s="6"/>
      <c r="F804" s="6"/>
      <c r="G804" s="6"/>
      <c r="H804" s="19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6"/>
      <c r="E805" s="6"/>
      <c r="F805" s="6"/>
      <c r="G805" s="6"/>
      <c r="H805" s="19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6"/>
      <c r="E806" s="6"/>
      <c r="F806" s="6"/>
      <c r="G806" s="6"/>
      <c r="H806" s="19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6"/>
      <c r="E807" s="6"/>
      <c r="F807" s="6"/>
      <c r="G807" s="6"/>
      <c r="H807" s="19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6"/>
      <c r="E808" s="6"/>
      <c r="F808" s="6"/>
      <c r="G808" s="6"/>
      <c r="H808" s="19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6"/>
      <c r="E809" s="6"/>
      <c r="F809" s="6"/>
      <c r="G809" s="6"/>
      <c r="H809" s="19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6"/>
      <c r="E810" s="6"/>
      <c r="F810" s="6"/>
      <c r="G810" s="6"/>
      <c r="H810" s="19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6"/>
      <c r="E811" s="6"/>
      <c r="F811" s="6"/>
      <c r="G811" s="6"/>
      <c r="H811" s="19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6"/>
      <c r="E812" s="6"/>
      <c r="F812" s="6"/>
      <c r="G812" s="6"/>
      <c r="H812" s="19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6"/>
      <c r="E813" s="6"/>
      <c r="F813" s="6"/>
      <c r="G813" s="6"/>
      <c r="H813" s="19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6"/>
      <c r="E814" s="6"/>
      <c r="F814" s="6"/>
      <c r="G814" s="6"/>
      <c r="H814" s="19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6"/>
      <c r="E815" s="6"/>
      <c r="F815" s="6"/>
      <c r="G815" s="6"/>
      <c r="H815" s="19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6"/>
      <c r="E816" s="6"/>
      <c r="F816" s="6"/>
      <c r="G816" s="6"/>
      <c r="H816" s="19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6"/>
      <c r="E817" s="6"/>
      <c r="F817" s="6"/>
      <c r="G817" s="6"/>
      <c r="H817" s="19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6"/>
      <c r="E818" s="6"/>
      <c r="F818" s="6"/>
      <c r="G818" s="6"/>
      <c r="H818" s="19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6"/>
      <c r="E819" s="6"/>
      <c r="F819" s="6"/>
      <c r="G819" s="6"/>
      <c r="H819" s="19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6"/>
      <c r="E820" s="6"/>
      <c r="F820" s="6"/>
      <c r="G820" s="6"/>
      <c r="H820" s="19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6"/>
      <c r="E821" s="6"/>
      <c r="F821" s="6"/>
      <c r="G821" s="6"/>
      <c r="H821" s="19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6"/>
      <c r="E822" s="6"/>
      <c r="F822" s="6"/>
      <c r="G822" s="6"/>
      <c r="H822" s="19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6"/>
      <c r="E823" s="6"/>
      <c r="F823" s="6"/>
      <c r="G823" s="6"/>
      <c r="H823" s="19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6"/>
      <c r="E824" s="6"/>
      <c r="F824" s="6"/>
      <c r="G824" s="6"/>
      <c r="H824" s="19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6"/>
      <c r="E825" s="6"/>
      <c r="F825" s="6"/>
      <c r="G825" s="6"/>
      <c r="H825" s="19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6"/>
      <c r="E826" s="6"/>
      <c r="F826" s="6"/>
      <c r="G826" s="6"/>
      <c r="H826" s="19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6"/>
      <c r="E827" s="6"/>
      <c r="F827" s="6"/>
      <c r="G827" s="6"/>
      <c r="H827" s="19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6"/>
      <c r="E828" s="6"/>
      <c r="F828" s="6"/>
      <c r="G828" s="6"/>
      <c r="H828" s="19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6"/>
      <c r="E829" s="6"/>
      <c r="F829" s="6"/>
      <c r="G829" s="6"/>
      <c r="H829" s="19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6"/>
      <c r="E830" s="6"/>
      <c r="F830" s="6"/>
      <c r="G830" s="6"/>
      <c r="H830" s="19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6"/>
      <c r="E831" s="6"/>
      <c r="F831" s="6"/>
      <c r="G831" s="6"/>
      <c r="H831" s="19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6"/>
      <c r="E832" s="6"/>
      <c r="F832" s="6"/>
      <c r="G832" s="6"/>
      <c r="H832" s="19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6"/>
      <c r="E833" s="6"/>
      <c r="F833" s="6"/>
      <c r="G833" s="6"/>
      <c r="H833" s="19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6"/>
      <c r="E834" s="6"/>
      <c r="F834" s="6"/>
      <c r="G834" s="6"/>
      <c r="H834" s="19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6"/>
      <c r="E835" s="6"/>
      <c r="F835" s="6"/>
      <c r="G835" s="6"/>
      <c r="H835" s="19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6"/>
      <c r="E836" s="6"/>
      <c r="F836" s="6"/>
      <c r="G836" s="6"/>
      <c r="H836" s="19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6"/>
      <c r="E837" s="6"/>
      <c r="F837" s="6"/>
      <c r="G837" s="6"/>
      <c r="H837" s="19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6"/>
      <c r="E838" s="6"/>
      <c r="F838" s="6"/>
      <c r="G838" s="6"/>
      <c r="H838" s="19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6"/>
      <c r="E839" s="6"/>
      <c r="F839" s="6"/>
      <c r="G839" s="6"/>
      <c r="H839" s="19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6"/>
      <c r="E840" s="6"/>
      <c r="F840" s="6"/>
      <c r="G840" s="6"/>
      <c r="H840" s="19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6"/>
      <c r="E841" s="6"/>
      <c r="F841" s="6"/>
      <c r="G841" s="6"/>
      <c r="H841" s="19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6"/>
      <c r="E842" s="6"/>
      <c r="F842" s="6"/>
      <c r="G842" s="6"/>
      <c r="H842" s="19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6"/>
      <c r="E843" s="6"/>
      <c r="F843" s="6"/>
      <c r="G843" s="6"/>
      <c r="H843" s="19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6"/>
      <c r="E844" s="6"/>
      <c r="F844" s="6"/>
      <c r="G844" s="6"/>
      <c r="H844" s="19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6"/>
      <c r="E845" s="6"/>
      <c r="F845" s="6"/>
      <c r="G845" s="6"/>
      <c r="H845" s="19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6"/>
      <c r="E846" s="6"/>
      <c r="F846" s="6"/>
      <c r="G846" s="6"/>
      <c r="H846" s="19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6"/>
      <c r="E847" s="6"/>
      <c r="F847" s="6"/>
      <c r="G847" s="6"/>
      <c r="H847" s="19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6"/>
      <c r="E848" s="6"/>
      <c r="F848" s="6"/>
      <c r="G848" s="6"/>
      <c r="H848" s="19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6"/>
      <c r="E849" s="6"/>
      <c r="F849" s="6"/>
      <c r="G849" s="6"/>
      <c r="H849" s="19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6"/>
      <c r="E850" s="6"/>
      <c r="F850" s="6"/>
      <c r="G850" s="6"/>
      <c r="H850" s="19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6"/>
      <c r="E851" s="6"/>
      <c r="F851" s="6"/>
      <c r="G851" s="6"/>
      <c r="H851" s="19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6"/>
      <c r="E852" s="6"/>
      <c r="F852" s="6"/>
      <c r="G852" s="6"/>
      <c r="H852" s="19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6"/>
      <c r="E853" s="6"/>
      <c r="F853" s="6"/>
      <c r="G853" s="6"/>
      <c r="H853" s="19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6"/>
      <c r="E854" s="6"/>
      <c r="F854" s="6"/>
      <c r="G854" s="6"/>
      <c r="H854" s="19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6"/>
      <c r="E855" s="6"/>
      <c r="F855" s="6"/>
      <c r="G855" s="6"/>
      <c r="H855" s="19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6"/>
      <c r="E856" s="6"/>
      <c r="F856" s="6"/>
      <c r="G856" s="6"/>
      <c r="H856" s="19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6"/>
      <c r="E857" s="6"/>
      <c r="F857" s="6"/>
      <c r="G857" s="6"/>
      <c r="H857" s="19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6"/>
      <c r="E858" s="6"/>
      <c r="F858" s="6"/>
      <c r="G858" s="6"/>
      <c r="H858" s="19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6"/>
      <c r="E859" s="6"/>
      <c r="F859" s="6"/>
      <c r="G859" s="6"/>
      <c r="H859" s="19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6"/>
      <c r="E860" s="6"/>
      <c r="F860" s="6"/>
      <c r="G860" s="6"/>
      <c r="H860" s="19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6"/>
      <c r="E861" s="6"/>
      <c r="F861" s="6"/>
      <c r="G861" s="6"/>
      <c r="H861" s="19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6"/>
      <c r="E862" s="6"/>
      <c r="F862" s="6"/>
      <c r="G862" s="6"/>
      <c r="H862" s="19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6"/>
      <c r="E863" s="6"/>
      <c r="F863" s="6"/>
      <c r="G863" s="6"/>
      <c r="H863" s="19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6"/>
      <c r="E864" s="6"/>
      <c r="F864" s="6"/>
      <c r="G864" s="6"/>
      <c r="H864" s="19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6"/>
      <c r="E865" s="6"/>
      <c r="F865" s="6"/>
      <c r="G865" s="6"/>
      <c r="H865" s="19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6"/>
      <c r="E866" s="6"/>
      <c r="F866" s="6"/>
      <c r="G866" s="6"/>
      <c r="H866" s="19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6"/>
      <c r="E867" s="6"/>
      <c r="F867" s="6"/>
      <c r="G867" s="6"/>
      <c r="H867" s="19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6"/>
      <c r="E868" s="6"/>
      <c r="F868" s="6"/>
      <c r="G868" s="6"/>
      <c r="H868" s="19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6"/>
      <c r="E869" s="6"/>
      <c r="F869" s="6"/>
      <c r="G869" s="6"/>
      <c r="H869" s="19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6"/>
      <c r="E870" s="6"/>
      <c r="F870" s="6"/>
      <c r="G870" s="6"/>
      <c r="H870" s="19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6"/>
      <c r="E871" s="6"/>
      <c r="F871" s="6"/>
      <c r="G871" s="6"/>
      <c r="H871" s="19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6"/>
      <c r="E872" s="6"/>
      <c r="F872" s="6"/>
      <c r="G872" s="6"/>
      <c r="H872" s="19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6"/>
      <c r="E873" s="6"/>
      <c r="F873" s="6"/>
      <c r="G873" s="6"/>
      <c r="H873" s="19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6"/>
      <c r="E874" s="6"/>
      <c r="F874" s="6"/>
      <c r="G874" s="6"/>
      <c r="H874" s="19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6"/>
      <c r="E875" s="6"/>
      <c r="F875" s="6"/>
      <c r="G875" s="6"/>
      <c r="H875" s="19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6"/>
      <c r="E876" s="6"/>
      <c r="F876" s="6"/>
      <c r="G876" s="6"/>
      <c r="H876" s="19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6"/>
      <c r="E877" s="6"/>
      <c r="F877" s="6"/>
      <c r="G877" s="6"/>
      <c r="H877" s="19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6"/>
      <c r="E878" s="6"/>
      <c r="F878" s="6"/>
      <c r="G878" s="6"/>
      <c r="H878" s="19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6"/>
      <c r="E879" s="6"/>
      <c r="F879" s="6"/>
      <c r="G879" s="6"/>
      <c r="H879" s="19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6"/>
      <c r="E880" s="6"/>
      <c r="F880" s="6"/>
      <c r="G880" s="6"/>
      <c r="H880" s="19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6"/>
      <c r="E881" s="6"/>
      <c r="F881" s="6"/>
      <c r="G881" s="6"/>
      <c r="H881" s="19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6"/>
      <c r="E882" s="6"/>
      <c r="F882" s="6"/>
      <c r="G882" s="6"/>
      <c r="H882" s="19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6"/>
      <c r="E883" s="6"/>
      <c r="F883" s="6"/>
      <c r="G883" s="6"/>
      <c r="H883" s="19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6"/>
      <c r="E884" s="6"/>
      <c r="F884" s="6"/>
      <c r="G884" s="6"/>
      <c r="H884" s="19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6"/>
      <c r="E885" s="6"/>
      <c r="F885" s="6"/>
      <c r="G885" s="6"/>
      <c r="H885" s="19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6"/>
      <c r="E886" s="6"/>
      <c r="F886" s="6"/>
      <c r="G886" s="6"/>
      <c r="H886" s="19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6"/>
      <c r="E887" s="6"/>
      <c r="F887" s="6"/>
      <c r="G887" s="6"/>
      <c r="H887" s="19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6"/>
      <c r="E888" s="6"/>
      <c r="F888" s="6"/>
      <c r="G888" s="6"/>
      <c r="H888" s="19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6"/>
      <c r="E889" s="6"/>
      <c r="F889" s="6"/>
      <c r="G889" s="6"/>
      <c r="H889" s="19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6"/>
      <c r="E890" s="6"/>
      <c r="F890" s="6"/>
      <c r="G890" s="6"/>
      <c r="H890" s="19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6"/>
      <c r="E891" s="6"/>
      <c r="F891" s="6"/>
      <c r="G891" s="6"/>
      <c r="H891" s="19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6"/>
      <c r="E892" s="6"/>
      <c r="F892" s="6"/>
      <c r="G892" s="6"/>
      <c r="H892" s="19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6"/>
      <c r="E893" s="6"/>
      <c r="F893" s="6"/>
      <c r="G893" s="6"/>
      <c r="H893" s="19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6"/>
      <c r="E894" s="6"/>
      <c r="F894" s="6"/>
      <c r="G894" s="6"/>
      <c r="H894" s="19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6"/>
      <c r="E895" s="6"/>
      <c r="F895" s="6"/>
      <c r="G895" s="6"/>
      <c r="H895" s="19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6"/>
      <c r="E896" s="6"/>
      <c r="F896" s="6"/>
      <c r="G896" s="6"/>
      <c r="H896" s="19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6"/>
      <c r="E897" s="6"/>
      <c r="F897" s="6"/>
      <c r="G897" s="6"/>
      <c r="H897" s="19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6"/>
      <c r="E898" s="6"/>
      <c r="F898" s="6"/>
      <c r="G898" s="6"/>
      <c r="H898" s="19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6"/>
      <c r="E899" s="6"/>
      <c r="F899" s="6"/>
      <c r="G899" s="6"/>
      <c r="H899" s="19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6"/>
      <c r="E900" s="6"/>
      <c r="F900" s="6"/>
      <c r="G900" s="6"/>
      <c r="H900" s="19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6"/>
      <c r="E901" s="6"/>
      <c r="F901" s="6"/>
      <c r="G901" s="6"/>
      <c r="H901" s="19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6"/>
      <c r="E902" s="6"/>
      <c r="F902" s="6"/>
      <c r="G902" s="6"/>
      <c r="H902" s="19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6"/>
      <c r="E903" s="6"/>
      <c r="F903" s="6"/>
      <c r="G903" s="6"/>
      <c r="H903" s="19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6"/>
      <c r="E904" s="6"/>
      <c r="F904" s="6"/>
      <c r="G904" s="6"/>
      <c r="H904" s="19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6"/>
      <c r="E905" s="6"/>
      <c r="F905" s="6"/>
      <c r="G905" s="6"/>
      <c r="H905" s="19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6"/>
      <c r="E906" s="6"/>
      <c r="F906" s="6"/>
      <c r="G906" s="6"/>
      <c r="H906" s="19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6"/>
      <c r="E907" s="6"/>
      <c r="F907" s="6"/>
      <c r="G907" s="6"/>
      <c r="H907" s="19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6"/>
      <c r="E908" s="6"/>
      <c r="F908" s="6"/>
      <c r="G908" s="6"/>
      <c r="H908" s="19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6"/>
      <c r="E909" s="6"/>
      <c r="F909" s="6"/>
      <c r="G909" s="6"/>
      <c r="H909" s="19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6"/>
      <c r="E910" s="6"/>
      <c r="F910" s="6"/>
      <c r="G910" s="6"/>
      <c r="H910" s="19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6"/>
      <c r="D911" s="6"/>
      <c r="E911" s="6"/>
      <c r="F911" s="6"/>
      <c r="G911" s="6"/>
      <c r="H911" s="19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6"/>
      <c r="D912" s="6"/>
      <c r="E912" s="6"/>
      <c r="F912" s="6"/>
      <c r="G912" s="6"/>
      <c r="H912" s="19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6"/>
      <c r="D913" s="6"/>
      <c r="E913" s="6"/>
      <c r="F913" s="6"/>
      <c r="G913" s="6"/>
      <c r="H913" s="19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6"/>
      <c r="D914" s="6"/>
      <c r="E914" s="6"/>
      <c r="F914" s="6"/>
      <c r="G914" s="6"/>
      <c r="H914" s="19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6"/>
      <c r="D915" s="6"/>
      <c r="E915" s="6"/>
      <c r="F915" s="6"/>
      <c r="G915" s="6"/>
      <c r="H915" s="19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6"/>
      <c r="D916" s="6"/>
      <c r="E916" s="6"/>
      <c r="F916" s="6"/>
      <c r="G916" s="6"/>
      <c r="H916" s="19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6"/>
      <c r="D917" s="6"/>
      <c r="E917" s="6"/>
      <c r="F917" s="6"/>
      <c r="G917" s="6"/>
      <c r="H917" s="19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6"/>
      <c r="D918" s="6"/>
      <c r="E918" s="6"/>
      <c r="F918" s="6"/>
      <c r="G918" s="6"/>
      <c r="H918" s="19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6"/>
      <c r="D919" s="6"/>
      <c r="E919" s="6"/>
      <c r="F919" s="6"/>
      <c r="G919" s="6"/>
      <c r="H919" s="19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6"/>
      <c r="D920" s="6"/>
      <c r="E920" s="6"/>
      <c r="F920" s="6"/>
      <c r="G920" s="6"/>
      <c r="H920" s="19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6"/>
      <c r="D921" s="6"/>
      <c r="E921" s="6"/>
      <c r="F921" s="6"/>
      <c r="G921" s="6"/>
      <c r="H921" s="19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6"/>
      <c r="D922" s="6"/>
      <c r="E922" s="6"/>
      <c r="F922" s="6"/>
      <c r="G922" s="6"/>
      <c r="H922" s="19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6"/>
      <c r="D923" s="6"/>
      <c r="E923" s="6"/>
      <c r="F923" s="6"/>
      <c r="G923" s="6"/>
      <c r="H923" s="19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6"/>
      <c r="D924" s="6"/>
      <c r="E924" s="6"/>
      <c r="F924" s="6"/>
      <c r="G924" s="6"/>
      <c r="H924" s="19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6"/>
      <c r="D925" s="6"/>
      <c r="E925" s="6"/>
      <c r="F925" s="6"/>
      <c r="G925" s="6"/>
      <c r="H925" s="19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6"/>
      <c r="D926" s="6"/>
      <c r="E926" s="6"/>
      <c r="F926" s="6"/>
      <c r="G926" s="6"/>
      <c r="H926" s="19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6"/>
      <c r="D927" s="6"/>
      <c r="E927" s="6"/>
      <c r="F927" s="6"/>
      <c r="G927" s="6"/>
      <c r="H927" s="19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6"/>
      <c r="D928" s="6"/>
      <c r="E928" s="6"/>
      <c r="F928" s="6"/>
      <c r="G928" s="6"/>
      <c r="H928" s="19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6"/>
      <c r="D929" s="6"/>
      <c r="E929" s="6"/>
      <c r="F929" s="6"/>
      <c r="G929" s="6"/>
      <c r="H929" s="19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6"/>
      <c r="D930" s="6"/>
      <c r="E930" s="6"/>
      <c r="F930" s="6"/>
      <c r="G930" s="6"/>
      <c r="H930" s="19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6"/>
      <c r="D931" s="6"/>
      <c r="E931" s="6"/>
      <c r="F931" s="6"/>
      <c r="G931" s="6"/>
      <c r="H931" s="19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6"/>
      <c r="D932" s="6"/>
      <c r="E932" s="6"/>
      <c r="F932" s="6"/>
      <c r="G932" s="6"/>
      <c r="H932" s="19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6"/>
      <c r="D933" s="6"/>
      <c r="E933" s="6"/>
      <c r="F933" s="6"/>
      <c r="G933" s="6"/>
      <c r="H933" s="19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6"/>
      <c r="D934" s="6"/>
      <c r="E934" s="6"/>
      <c r="F934" s="6"/>
      <c r="G934" s="6"/>
      <c r="H934" s="19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6"/>
      <c r="D935" s="6"/>
      <c r="E935" s="6"/>
      <c r="F935" s="6"/>
      <c r="G935" s="6"/>
      <c r="H935" s="19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6"/>
      <c r="D936" s="6"/>
      <c r="E936" s="6"/>
      <c r="F936" s="6"/>
      <c r="G936" s="6"/>
      <c r="H936" s="19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6"/>
      <c r="D937" s="6"/>
      <c r="E937" s="6"/>
      <c r="F937" s="6"/>
      <c r="G937" s="6"/>
      <c r="H937" s="19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6"/>
      <c r="D938" s="6"/>
      <c r="E938" s="6"/>
      <c r="F938" s="6"/>
      <c r="G938" s="6"/>
      <c r="H938" s="19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6"/>
      <c r="D939" s="6"/>
      <c r="E939" s="6"/>
      <c r="F939" s="6"/>
      <c r="G939" s="6"/>
      <c r="H939" s="19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6"/>
      <c r="D940" s="6"/>
      <c r="E940" s="6"/>
      <c r="F940" s="6"/>
      <c r="G940" s="6"/>
      <c r="H940" s="19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6"/>
      <c r="D941" s="6"/>
      <c r="E941" s="6"/>
      <c r="F941" s="6"/>
      <c r="G941" s="6"/>
      <c r="H941" s="19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6"/>
      <c r="D942" s="6"/>
      <c r="E942" s="6"/>
      <c r="F942" s="6"/>
      <c r="G942" s="6"/>
      <c r="H942" s="19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6"/>
      <c r="D943" s="6"/>
      <c r="E943" s="6"/>
      <c r="F943" s="6"/>
      <c r="G943" s="6"/>
      <c r="H943" s="19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6"/>
      <c r="D944" s="6"/>
      <c r="E944" s="6"/>
      <c r="F944" s="6"/>
      <c r="G944" s="6"/>
      <c r="H944" s="19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6"/>
      <c r="D945" s="6"/>
      <c r="E945" s="6"/>
      <c r="F945" s="6"/>
      <c r="G945" s="6"/>
      <c r="H945" s="19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6"/>
      <c r="D946" s="6"/>
      <c r="E946" s="6"/>
      <c r="F946" s="6"/>
      <c r="G946" s="6"/>
      <c r="H946" s="19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6"/>
      <c r="D947" s="6"/>
      <c r="E947" s="6"/>
      <c r="F947" s="6"/>
      <c r="G947" s="6"/>
      <c r="H947" s="19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6"/>
      <c r="D948" s="6"/>
      <c r="E948" s="6"/>
      <c r="F948" s="6"/>
      <c r="G948" s="6"/>
      <c r="H948" s="19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6"/>
      <c r="D949" s="6"/>
      <c r="E949" s="6"/>
      <c r="F949" s="6"/>
      <c r="G949" s="6"/>
      <c r="H949" s="19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6"/>
      <c r="D950" s="6"/>
      <c r="E950" s="6"/>
      <c r="F950" s="6"/>
      <c r="G950" s="6"/>
      <c r="H950" s="19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6"/>
      <c r="D951" s="6"/>
      <c r="E951" s="6"/>
      <c r="F951" s="6"/>
      <c r="G951" s="6"/>
      <c r="H951" s="19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6"/>
      <c r="D952" s="6"/>
      <c r="E952" s="6"/>
      <c r="F952" s="6"/>
      <c r="G952" s="6"/>
      <c r="H952" s="19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6"/>
      <c r="D953" s="6"/>
      <c r="E953" s="6"/>
      <c r="F953" s="6"/>
      <c r="G953" s="6"/>
      <c r="H953" s="19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6"/>
      <c r="D954" s="6"/>
      <c r="E954" s="6"/>
      <c r="F954" s="6"/>
      <c r="G954" s="6"/>
      <c r="H954" s="19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6"/>
      <c r="D955" s="6"/>
      <c r="E955" s="6"/>
      <c r="F955" s="6"/>
      <c r="G955" s="6"/>
      <c r="H955" s="19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6"/>
      <c r="D956" s="6"/>
      <c r="E956" s="6"/>
      <c r="F956" s="6"/>
      <c r="G956" s="6"/>
      <c r="H956" s="19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6"/>
      <c r="D957" s="6"/>
      <c r="E957" s="6"/>
      <c r="F957" s="6"/>
      <c r="G957" s="6"/>
      <c r="H957" s="19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6"/>
      <c r="D958" s="6"/>
      <c r="E958" s="6"/>
      <c r="F958" s="6"/>
      <c r="G958" s="6"/>
      <c r="H958" s="19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6"/>
      <c r="D959" s="6"/>
      <c r="E959" s="6"/>
      <c r="F959" s="6"/>
      <c r="G959" s="6"/>
      <c r="H959" s="19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6"/>
      <c r="D960" s="6"/>
      <c r="E960" s="6"/>
      <c r="F960" s="6"/>
      <c r="G960" s="6"/>
      <c r="H960" s="19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6"/>
      <c r="D961" s="6"/>
      <c r="E961" s="6"/>
      <c r="F961" s="6"/>
      <c r="G961" s="6"/>
      <c r="H961" s="19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6"/>
      <c r="D962" s="6"/>
      <c r="E962" s="6"/>
      <c r="F962" s="6"/>
      <c r="G962" s="6"/>
      <c r="H962" s="19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6"/>
      <c r="D963" s="6"/>
      <c r="E963" s="6"/>
      <c r="F963" s="6"/>
      <c r="G963" s="6"/>
      <c r="H963" s="19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6"/>
      <c r="D964" s="6"/>
      <c r="E964" s="6"/>
      <c r="F964" s="6"/>
      <c r="G964" s="6"/>
      <c r="H964" s="19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6"/>
      <c r="D965" s="6"/>
      <c r="E965" s="6"/>
      <c r="F965" s="6"/>
      <c r="G965" s="6"/>
      <c r="H965" s="19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6"/>
      <c r="D966" s="6"/>
      <c r="E966" s="6"/>
      <c r="F966" s="6"/>
      <c r="G966" s="6"/>
      <c r="H966" s="19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6"/>
      <c r="D967" s="6"/>
      <c r="E967" s="6"/>
      <c r="F967" s="6"/>
      <c r="G967" s="6"/>
      <c r="H967" s="19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6"/>
      <c r="D968" s="6"/>
      <c r="E968" s="6"/>
      <c r="F968" s="6"/>
      <c r="G968" s="6"/>
      <c r="H968" s="19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6"/>
      <c r="D969" s="6"/>
      <c r="E969" s="6"/>
      <c r="F969" s="6"/>
      <c r="G969" s="6"/>
      <c r="H969" s="19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6"/>
      <c r="D970" s="6"/>
      <c r="E970" s="6"/>
      <c r="F970" s="6"/>
      <c r="G970" s="6"/>
      <c r="H970" s="19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6"/>
      <c r="D971" s="6"/>
      <c r="E971" s="6"/>
      <c r="F971" s="6"/>
      <c r="G971" s="6"/>
      <c r="H971" s="19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6"/>
      <c r="D972" s="6"/>
      <c r="E972" s="6"/>
      <c r="F972" s="6"/>
      <c r="G972" s="6"/>
      <c r="H972" s="19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6"/>
      <c r="D973" s="6"/>
      <c r="E973" s="6"/>
      <c r="F973" s="6"/>
      <c r="G973" s="6"/>
      <c r="H973" s="19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6"/>
      <c r="D974" s="6"/>
      <c r="E974" s="6"/>
      <c r="F974" s="6"/>
      <c r="G974" s="6"/>
      <c r="H974" s="19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6"/>
      <c r="D975" s="6"/>
      <c r="E975" s="6"/>
      <c r="F975" s="6"/>
      <c r="G975" s="6"/>
      <c r="H975" s="19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6"/>
      <c r="D976" s="6"/>
      <c r="E976" s="6"/>
      <c r="F976" s="6"/>
      <c r="G976" s="6"/>
      <c r="H976" s="19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6"/>
      <c r="D977" s="6"/>
      <c r="E977" s="6"/>
      <c r="F977" s="6"/>
      <c r="G977" s="6"/>
      <c r="H977" s="19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6"/>
      <c r="D978" s="6"/>
      <c r="E978" s="6"/>
      <c r="F978" s="6"/>
      <c r="G978" s="6"/>
      <c r="H978" s="19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6"/>
      <c r="D979" s="6"/>
      <c r="E979" s="6"/>
      <c r="F979" s="6"/>
      <c r="G979" s="6"/>
      <c r="H979" s="19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6"/>
      <c r="D980" s="6"/>
      <c r="E980" s="6"/>
      <c r="F980" s="6"/>
      <c r="G980" s="6"/>
      <c r="H980" s="19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6"/>
      <c r="D981" s="6"/>
      <c r="E981" s="6"/>
      <c r="F981" s="6"/>
      <c r="G981" s="6"/>
      <c r="H981" s="19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6"/>
      <c r="D982" s="6"/>
      <c r="E982" s="6"/>
      <c r="F982" s="6"/>
      <c r="G982" s="6"/>
      <c r="H982" s="19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6"/>
      <c r="D983" s="6"/>
      <c r="E983" s="6"/>
      <c r="F983" s="6"/>
      <c r="G983" s="6"/>
      <c r="H983" s="19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6"/>
      <c r="D984" s="6"/>
      <c r="E984" s="6"/>
      <c r="F984" s="6"/>
      <c r="G984" s="6"/>
      <c r="H984" s="19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6"/>
      <c r="D985" s="6"/>
      <c r="E985" s="6"/>
      <c r="F985" s="6"/>
      <c r="G985" s="6"/>
      <c r="H985" s="19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6"/>
      <c r="D986" s="6"/>
      <c r="E986" s="6"/>
      <c r="F986" s="6"/>
      <c r="G986" s="6"/>
      <c r="H986" s="19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6"/>
      <c r="D987" s="6"/>
      <c r="E987" s="6"/>
      <c r="F987" s="6"/>
      <c r="G987" s="6"/>
      <c r="H987" s="19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6"/>
      <c r="D988" s="6"/>
      <c r="E988" s="6"/>
      <c r="F988" s="6"/>
      <c r="G988" s="6"/>
      <c r="H988" s="19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6"/>
      <c r="D989" s="6"/>
      <c r="E989" s="6"/>
      <c r="F989" s="6"/>
      <c r="G989" s="6"/>
      <c r="H989" s="19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6"/>
      <c r="C990" s="6"/>
      <c r="D990" s="6"/>
      <c r="E990" s="6"/>
      <c r="F990" s="6"/>
      <c r="G990" s="6"/>
      <c r="H990" s="19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6"/>
      <c r="C991" s="6"/>
      <c r="D991" s="6"/>
      <c r="E991" s="6"/>
      <c r="F991" s="6"/>
      <c r="G991" s="6"/>
      <c r="H991" s="19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6"/>
      <c r="C992" s="6"/>
      <c r="D992" s="6"/>
      <c r="E992" s="6"/>
      <c r="F992" s="6"/>
      <c r="G992" s="6"/>
      <c r="H992" s="19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6"/>
      <c r="C993" s="6"/>
      <c r="D993" s="6"/>
      <c r="E993" s="6"/>
      <c r="F993" s="6"/>
      <c r="G993" s="6"/>
      <c r="H993" s="19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6"/>
      <c r="C994" s="6"/>
      <c r="D994" s="6"/>
      <c r="E994" s="6"/>
      <c r="F994" s="6"/>
      <c r="G994" s="6"/>
      <c r="H994" s="19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"/>
      <c r="B995" s="6"/>
      <c r="C995" s="6"/>
      <c r="D995" s="6"/>
      <c r="E995" s="6"/>
      <c r="F995" s="6"/>
      <c r="G995" s="6"/>
      <c r="H995" s="19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6"/>
      <c r="B996" s="6"/>
      <c r="C996" s="6"/>
      <c r="D996" s="6"/>
      <c r="E996" s="6"/>
      <c r="F996" s="6"/>
      <c r="G996" s="6"/>
      <c r="H996" s="19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6"/>
      <c r="B997" s="6"/>
      <c r="C997" s="6"/>
      <c r="D997" s="6"/>
      <c r="E997" s="6"/>
      <c r="F997" s="6"/>
      <c r="G997" s="6"/>
      <c r="H997" s="19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6"/>
      <c r="B998" s="6"/>
      <c r="C998" s="6"/>
      <c r="D998" s="6"/>
      <c r="E998" s="6"/>
      <c r="F998" s="6"/>
      <c r="G998" s="6"/>
      <c r="H998" s="19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6"/>
      <c r="B999" s="6"/>
      <c r="C999" s="6"/>
      <c r="D999" s="6"/>
      <c r="E999" s="6"/>
      <c r="F999" s="6"/>
      <c r="G999" s="6"/>
      <c r="H999" s="19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6"/>
      <c r="B1000" s="6"/>
      <c r="C1000" s="6"/>
      <c r="D1000" s="6"/>
      <c r="E1000" s="6"/>
      <c r="F1000" s="6"/>
      <c r="G1000" s="6"/>
      <c r="H1000" s="19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49.38"/>
    <col customWidth="1" min="3" max="3" width="64.75"/>
    <col customWidth="1" min="4" max="4" width="52.5"/>
    <col customWidth="1" min="5" max="5" width="38.0"/>
    <col customWidth="1" min="6" max="6" width="36.0"/>
  </cols>
  <sheetData>
    <row r="1">
      <c r="A1" s="3" t="s">
        <v>119</v>
      </c>
      <c r="B1" s="3" t="s">
        <v>251</v>
      </c>
      <c r="C1" s="3" t="s">
        <v>252</v>
      </c>
      <c r="D1" s="3" t="s">
        <v>253</v>
      </c>
      <c r="E1" s="3" t="s">
        <v>254</v>
      </c>
      <c r="F1" s="3" t="s">
        <v>255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3" t="str">
        <f>Bio!A2</f>
        <v>Matthew Heredia</v>
      </c>
      <c r="B2" s="3" t="s">
        <v>256</v>
      </c>
      <c r="C2" s="3" t="s">
        <v>257</v>
      </c>
      <c r="D2" s="3" t="s">
        <v>258</v>
      </c>
      <c r="E2" s="3" t="s">
        <v>259</v>
      </c>
      <c r="F2" s="3" t="s">
        <v>13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6" t="str">
        <f>Bio!A3</f>
        <v>Jason Drew</v>
      </c>
      <c r="B3" s="3" t="s">
        <v>260</v>
      </c>
      <c r="C3" s="3" t="s">
        <v>261</v>
      </c>
      <c r="D3" s="3" t="s">
        <v>262</v>
      </c>
      <c r="E3" s="3" t="s">
        <v>13</v>
      </c>
      <c r="F3" s="3" t="s">
        <v>13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 t="str">
        <f>Bio!A4</f>
        <v>Josh Jacob</v>
      </c>
      <c r="B4" s="3" t="s">
        <v>263</v>
      </c>
      <c r="C4" s="3" t="s">
        <v>264</v>
      </c>
      <c r="D4" s="3" t="s">
        <v>265</v>
      </c>
      <c r="E4" s="3" t="s">
        <v>266</v>
      </c>
      <c r="F4" s="3" t="s">
        <v>13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6" t="str">
        <f>Bio!A5</f>
        <v>Collin Vaughan</v>
      </c>
      <c r="B5" s="3" t="s">
        <v>267</v>
      </c>
      <c r="C5" s="3" t="s">
        <v>268</v>
      </c>
      <c r="D5" s="3" t="s">
        <v>269</v>
      </c>
      <c r="E5" s="3" t="s">
        <v>270</v>
      </c>
      <c r="F5" s="3" t="s">
        <v>271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3" t="str">
        <f>Bio!A6</f>
        <v>Harrison Coneway</v>
      </c>
      <c r="B6" s="20" t="s">
        <v>272</v>
      </c>
      <c r="C6" s="20" t="s">
        <v>273</v>
      </c>
      <c r="D6" s="20" t="s">
        <v>274</v>
      </c>
      <c r="E6" s="20" t="s">
        <v>275</v>
      </c>
      <c r="F6" s="3" t="s">
        <v>13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6" t="str">
        <f>Bio!A7</f>
        <v>Vince Long</v>
      </c>
      <c r="B7" s="3" t="s">
        <v>276</v>
      </c>
      <c r="C7" s="3" t="s">
        <v>277</v>
      </c>
      <c r="D7" s="3" t="s">
        <v>278</v>
      </c>
      <c r="E7" s="3" t="s">
        <v>13</v>
      </c>
      <c r="F7" s="3" t="s">
        <v>13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3" t="str">
        <f>Bio!A8</f>
        <v>Noah Satine</v>
      </c>
      <c r="B8" s="3" t="s">
        <v>279</v>
      </c>
      <c r="C8" s="3" t="s">
        <v>280</v>
      </c>
      <c r="D8" s="3" t="s">
        <v>281</v>
      </c>
      <c r="E8" s="3" t="s">
        <v>282</v>
      </c>
      <c r="F8" s="3" t="s">
        <v>283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 t="str">
        <f>Bio!A9</f>
        <v>Ford Stratton</v>
      </c>
      <c r="B9" s="3" t="s">
        <v>284</v>
      </c>
      <c r="C9" s="3" t="s">
        <v>285</v>
      </c>
      <c r="D9" s="3" t="s">
        <v>286</v>
      </c>
      <c r="E9" s="3" t="s">
        <v>287</v>
      </c>
      <c r="F9" s="3" t="s">
        <v>288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3" t="str">
        <f>Bio!A10</f>
        <v>Jack Snakenberg</v>
      </c>
      <c r="B10" s="3" t="s">
        <v>289</v>
      </c>
      <c r="C10" s="3" t="s">
        <v>290</v>
      </c>
      <c r="D10" s="3" t="s">
        <v>291</v>
      </c>
      <c r="E10" s="3" t="s">
        <v>13</v>
      </c>
      <c r="F10" s="3" t="s">
        <v>13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 t="str">
        <f>Bio!A11</f>
        <v>Koji Paul (Hitter)</v>
      </c>
      <c r="B11" s="3" t="s">
        <v>292</v>
      </c>
      <c r="C11" s="3" t="s">
        <v>293</v>
      </c>
      <c r="D11" s="3" t="s">
        <v>294</v>
      </c>
      <c r="E11" s="3" t="s">
        <v>13</v>
      </c>
      <c r="F11" s="3" t="s">
        <v>13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3" t="str">
        <f>Bio!A12</f>
        <v>Preston Steeno</v>
      </c>
      <c r="B12" s="3" t="s">
        <v>295</v>
      </c>
      <c r="C12" s="3" t="s">
        <v>296</v>
      </c>
      <c r="D12" s="3" t="s">
        <v>297</v>
      </c>
      <c r="E12" s="3" t="s">
        <v>298</v>
      </c>
      <c r="F12" s="3" t="s">
        <v>299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 t="str">
        <f>Bio!A13</f>
        <v>Andy Torres</v>
      </c>
      <c r="B13" s="3" t="s">
        <v>300</v>
      </c>
      <c r="C13" s="3" t="s">
        <v>301</v>
      </c>
      <c r="D13" s="3" t="s">
        <v>302</v>
      </c>
      <c r="E13" s="3" t="s">
        <v>303</v>
      </c>
      <c r="F13" s="3" t="s">
        <v>304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3" t="str">
        <f>Bio!A14</f>
        <v>Mason Duncan</v>
      </c>
      <c r="B14" s="3" t="s">
        <v>305</v>
      </c>
      <c r="C14" s="3" t="s">
        <v>306</v>
      </c>
      <c r="D14" s="3" t="s">
        <v>307</v>
      </c>
      <c r="E14" s="3" t="s">
        <v>308</v>
      </c>
      <c r="F14" s="3" t="s">
        <v>309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 t="str">
        <f>Bio!A15</f>
        <v>Donnie Hooten</v>
      </c>
      <c r="B15" s="3" t="s">
        <v>310</v>
      </c>
      <c r="C15" s="3" t="s">
        <v>311</v>
      </c>
      <c r="D15" s="3" t="s">
        <v>312</v>
      </c>
      <c r="E15" s="3" t="s">
        <v>313</v>
      </c>
      <c r="F15" s="3" t="s">
        <v>13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3" t="str">
        <f>Bio!A16</f>
        <v>Lucas Arnold</v>
      </c>
      <c r="B16" s="3" t="s">
        <v>314</v>
      </c>
      <c r="C16" s="3" t="s">
        <v>315</v>
      </c>
      <c r="D16" s="3" t="s">
        <v>316</v>
      </c>
      <c r="E16" s="3" t="s">
        <v>317</v>
      </c>
      <c r="F16" s="3" t="s">
        <v>13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 t="str">
        <f>Bio!A17</f>
        <v>Blake Lyle</v>
      </c>
      <c r="B17" s="3" t="s">
        <v>318</v>
      </c>
      <c r="C17" s="3" t="s">
        <v>319</v>
      </c>
      <c r="D17" s="3" t="s">
        <v>320</v>
      </c>
      <c r="E17" s="3" t="s">
        <v>317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3" t="str">
        <f>Bio!A18</f>
        <v>Caleb Hunter</v>
      </c>
      <c r="B18" s="7" t="s">
        <v>321</v>
      </c>
      <c r="C18" s="7" t="s">
        <v>322</v>
      </c>
      <c r="D18" s="7" t="s">
        <v>323</v>
      </c>
      <c r="E18" s="7" t="s">
        <v>324</v>
      </c>
      <c r="F18" s="7" t="s">
        <v>13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 t="str">
        <f>Bio!A19</f>
        <v>Zander Zangoei</v>
      </c>
      <c r="B19" s="7" t="s">
        <v>325</v>
      </c>
      <c r="C19" s="7" t="s">
        <v>326</v>
      </c>
      <c r="D19" s="7" t="s">
        <v>327</v>
      </c>
      <c r="E19" s="7" t="s">
        <v>328</v>
      </c>
      <c r="F19" s="7" t="s">
        <v>329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3" t="str">
        <f>Bio!A20</f>
        <v>Blake Stewart</v>
      </c>
      <c r="B20" s="7" t="s">
        <v>330</v>
      </c>
      <c r="C20" s="7" t="s">
        <v>331</v>
      </c>
      <c r="D20" s="7" t="s">
        <v>332</v>
      </c>
      <c r="E20" s="7" t="s">
        <v>333</v>
      </c>
      <c r="F20" s="7" t="s">
        <v>13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 t="str">
        <f>Bio!A21</f>
        <v>Matthew Siskowski</v>
      </c>
      <c r="B21" s="7" t="s">
        <v>334</v>
      </c>
      <c r="C21" s="7" t="s">
        <v>335</v>
      </c>
      <c r="D21" s="7" t="s">
        <v>336</v>
      </c>
      <c r="E21" s="7" t="s">
        <v>337</v>
      </c>
      <c r="F21" s="7" t="s">
        <v>13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3" t="str">
        <f>Bio!A22</f>
        <v>Linkyn Fuller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 t="str">
        <f>Bio!A23</f>
        <v/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3" t="str">
        <f>Bio!A24</f>
        <v/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 t="str">
        <f>Bio!A25</f>
        <v/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3" t="str">
        <f>Bio!A26</f>
        <v/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 t="str">
        <f>Bio!A27</f>
        <v/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3" t="str">
        <f>Bio!A28</f>
        <v/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 t="str">
        <f>Bio!A29</f>
        <v/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3" t="str">
        <f>Bio!A30</f>
        <v/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 t="str">
        <f>Bio!A31</f>
        <v/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3" t="str">
        <f>Bio!A32</f>
        <v/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 t="str">
        <f>Bio!A33</f>
        <v/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3" t="str">
        <f>Bio!A34</f>
        <v/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 t="str">
        <f>Bio!A35</f>
        <v/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3" t="str">
        <f>Bio!A36</f>
        <v/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 t="str">
        <f>Bio!A37</f>
        <v/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3" t="str">
        <f>Bio!A38</f>
        <v/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 t="str">
        <f>Bio!A39</f>
        <v/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3" t="str">
        <f>Bio!A40</f>
        <v/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 t="str">
        <f>Bio!A41</f>
        <v/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3" t="str">
        <f>Bio!A42</f>
        <v/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 t="str">
        <f>Bio!A43</f>
        <v/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3" t="str">
        <f>Bio!A44</f>
        <v/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 t="str">
        <f>Bio!A45</f>
        <v/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3" t="str">
        <f>Bio!A46</f>
        <v/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 t="str">
        <f>Bio!A47</f>
        <v/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3" t="str">
        <f>Bio!A48</f>
        <v/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 t="str">
        <f>Bio!A49</f>
        <v/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53.13"/>
    <col customWidth="1" min="3" max="3" width="17.63"/>
    <col customWidth="1" min="4" max="4" width="24.38"/>
    <col customWidth="1" min="5" max="5" width="29.5"/>
    <col customWidth="1" min="6" max="6" width="12.88"/>
    <col customWidth="1" min="7" max="7" width="14.0"/>
    <col customWidth="1" min="8" max="8" width="40.63"/>
    <col customWidth="1" min="10" max="10" width="14.0"/>
  </cols>
  <sheetData>
    <row r="1">
      <c r="A1" s="3" t="s">
        <v>119</v>
      </c>
      <c r="B1" s="3" t="s">
        <v>338</v>
      </c>
      <c r="C1" s="3" t="s">
        <v>339</v>
      </c>
      <c r="D1" s="3" t="s">
        <v>340</v>
      </c>
      <c r="E1" s="3" t="s">
        <v>341</v>
      </c>
      <c r="F1" s="3" t="s">
        <v>342</v>
      </c>
      <c r="G1" s="3" t="s">
        <v>343</v>
      </c>
      <c r="H1" s="3" t="s">
        <v>344</v>
      </c>
      <c r="I1" s="3" t="s">
        <v>345</v>
      </c>
      <c r="J1" s="3" t="s">
        <v>346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>
      <c r="A2" s="3" t="str">
        <f>Bio!A2</f>
        <v>Matthew Heredia</v>
      </c>
      <c r="B2" s="3" t="s">
        <v>347</v>
      </c>
      <c r="C2" s="21">
        <v>45778.0</v>
      </c>
      <c r="D2" s="3" t="s">
        <v>348</v>
      </c>
      <c r="E2" s="3" t="s">
        <v>349</v>
      </c>
      <c r="F2" s="3">
        <v>2023.0</v>
      </c>
      <c r="G2" s="3" t="s">
        <v>350</v>
      </c>
      <c r="H2" s="3" t="s">
        <v>13</v>
      </c>
      <c r="I2" s="3" t="s">
        <v>13</v>
      </c>
      <c r="J2" s="3" t="s">
        <v>13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>
      <c r="A3" s="6" t="str">
        <f>Bio!A3</f>
        <v>Jason Drew</v>
      </c>
      <c r="B3" s="3" t="s">
        <v>351</v>
      </c>
      <c r="C3" s="21">
        <v>45047.0</v>
      </c>
      <c r="D3" s="3" t="s">
        <v>350</v>
      </c>
      <c r="E3" s="3" t="s">
        <v>352</v>
      </c>
      <c r="F3" s="21">
        <v>45047.0</v>
      </c>
      <c r="G3" s="3" t="s">
        <v>350</v>
      </c>
      <c r="H3" s="3" t="s">
        <v>353</v>
      </c>
      <c r="I3" s="3" t="s">
        <v>354</v>
      </c>
      <c r="J3" s="3" t="s">
        <v>355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>
      <c r="A4" s="3" t="str">
        <f>Bio!A4</f>
        <v>Josh Jacob</v>
      </c>
      <c r="B4" s="3" t="s">
        <v>356</v>
      </c>
      <c r="C4" s="21">
        <v>44713.0</v>
      </c>
      <c r="D4" s="3" t="s">
        <v>357</v>
      </c>
      <c r="E4" s="3" t="s">
        <v>358</v>
      </c>
      <c r="F4" s="21">
        <v>45323.0</v>
      </c>
      <c r="G4" s="3" t="s">
        <v>350</v>
      </c>
      <c r="H4" s="3" t="s">
        <v>13</v>
      </c>
      <c r="I4" s="3" t="s">
        <v>13</v>
      </c>
      <c r="J4" s="3" t="s">
        <v>13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>
      <c r="A5" s="6" t="str">
        <f>Bio!A5</f>
        <v>Collin Vaughan</v>
      </c>
      <c r="B5" s="3" t="s">
        <v>359</v>
      </c>
      <c r="C5" s="21">
        <v>45078.0</v>
      </c>
      <c r="D5" s="3" t="s">
        <v>360</v>
      </c>
      <c r="E5" s="3" t="s">
        <v>13</v>
      </c>
      <c r="F5" s="3" t="s">
        <v>13</v>
      </c>
      <c r="G5" s="3" t="s">
        <v>13</v>
      </c>
      <c r="H5" s="3" t="s">
        <v>13</v>
      </c>
      <c r="I5" s="3" t="s">
        <v>13</v>
      </c>
      <c r="J5" s="3" t="s">
        <v>13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>
      <c r="A6" s="3" t="str">
        <f>Bio!A6</f>
        <v>Harrison Coneway</v>
      </c>
      <c r="B6" s="3" t="s">
        <v>361</v>
      </c>
      <c r="C6" s="21">
        <v>45444.0</v>
      </c>
      <c r="D6" s="3" t="s">
        <v>350</v>
      </c>
      <c r="E6" s="3" t="s">
        <v>13</v>
      </c>
      <c r="F6" s="3" t="s">
        <v>13</v>
      </c>
      <c r="G6" s="3" t="s">
        <v>13</v>
      </c>
      <c r="H6" s="3" t="s">
        <v>13</v>
      </c>
      <c r="I6" s="3" t="s">
        <v>13</v>
      </c>
      <c r="J6" s="3" t="s">
        <v>13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>
      <c r="A7" s="6" t="str">
        <f>Bio!A7</f>
        <v>Vince Long</v>
      </c>
      <c r="B7" s="3" t="s">
        <v>362</v>
      </c>
      <c r="C7" s="21">
        <v>45809.0</v>
      </c>
      <c r="D7" s="3" t="s">
        <v>363</v>
      </c>
      <c r="E7" s="3" t="s">
        <v>364</v>
      </c>
      <c r="F7" s="21">
        <v>45717.0</v>
      </c>
      <c r="G7" s="3" t="s">
        <v>350</v>
      </c>
      <c r="H7" s="3" t="s">
        <v>13</v>
      </c>
      <c r="I7" s="3" t="s">
        <v>13</v>
      </c>
      <c r="J7" s="3" t="s">
        <v>13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>
      <c r="A8" s="3" t="str">
        <f>Bio!A8</f>
        <v>Noah Satine</v>
      </c>
      <c r="B8" s="3" t="s">
        <v>365</v>
      </c>
      <c r="C8" s="21">
        <v>45352.0</v>
      </c>
      <c r="D8" s="3" t="s">
        <v>366</v>
      </c>
      <c r="E8" s="3" t="s">
        <v>367</v>
      </c>
      <c r="F8" s="21">
        <v>45261.0</v>
      </c>
      <c r="G8" s="3" t="s">
        <v>350</v>
      </c>
      <c r="H8" s="3" t="s">
        <v>13</v>
      </c>
      <c r="I8" s="3" t="s">
        <v>13</v>
      </c>
      <c r="J8" s="3" t="s">
        <v>13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>
      <c r="A9" s="6" t="str">
        <f>Bio!A9</f>
        <v>Ford Stratton</v>
      </c>
      <c r="B9" s="3" t="s">
        <v>368</v>
      </c>
      <c r="C9" s="22">
        <v>43831.0</v>
      </c>
      <c r="D9" s="3" t="s">
        <v>369</v>
      </c>
      <c r="E9" s="3" t="s">
        <v>370</v>
      </c>
      <c r="F9" s="21">
        <v>46082.0</v>
      </c>
      <c r="G9" s="3" t="s">
        <v>371</v>
      </c>
      <c r="H9" s="3" t="s">
        <v>372</v>
      </c>
      <c r="I9" s="21">
        <v>46082.0</v>
      </c>
      <c r="J9" s="3" t="s">
        <v>350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>
      <c r="A10" s="3" t="str">
        <f>Bio!A10</f>
        <v>Jack Snakenberg</v>
      </c>
      <c r="B10" s="3" t="s">
        <v>373</v>
      </c>
      <c r="C10" s="21">
        <v>45717.0</v>
      </c>
      <c r="D10" s="3" t="s">
        <v>374</v>
      </c>
      <c r="E10" s="3" t="s">
        <v>375</v>
      </c>
      <c r="F10" s="22">
        <v>44197.0</v>
      </c>
      <c r="G10" s="3" t="s">
        <v>350</v>
      </c>
      <c r="H10" s="3" t="s">
        <v>13</v>
      </c>
      <c r="I10" s="3" t="s">
        <v>13</v>
      </c>
      <c r="J10" s="3" t="s">
        <v>13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>
      <c r="A11" s="6" t="str">
        <f>Bio!A11</f>
        <v>Koji Paul (Hitter)</v>
      </c>
      <c r="B11" s="3" t="s">
        <v>376</v>
      </c>
      <c r="C11" s="21">
        <v>45809.0</v>
      </c>
      <c r="D11" s="3" t="s">
        <v>350</v>
      </c>
      <c r="E11" s="3" t="s">
        <v>377</v>
      </c>
      <c r="F11" s="21">
        <v>45778.0</v>
      </c>
      <c r="G11" s="3" t="s">
        <v>350</v>
      </c>
      <c r="H11" s="3" t="s">
        <v>13</v>
      </c>
      <c r="I11" s="3" t="s">
        <v>13</v>
      </c>
      <c r="J11" s="3" t="s">
        <v>13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>
      <c r="A12" s="3" t="str">
        <f>Bio!A12</f>
        <v>Preston Steeno</v>
      </c>
      <c r="B12" s="3" t="s">
        <v>378</v>
      </c>
      <c r="C12" s="21">
        <v>45597.0</v>
      </c>
      <c r="D12" s="3" t="s">
        <v>379</v>
      </c>
      <c r="E12" s="3" t="s">
        <v>380</v>
      </c>
      <c r="F12" s="22">
        <v>44562.0</v>
      </c>
      <c r="G12" s="3" t="s">
        <v>13</v>
      </c>
      <c r="H12" s="3" t="s">
        <v>381</v>
      </c>
      <c r="I12" s="21">
        <v>46082.0</v>
      </c>
      <c r="J12" s="3" t="s">
        <v>13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>
      <c r="A13" s="6" t="str">
        <f>Bio!A13</f>
        <v>Andy Torres</v>
      </c>
      <c r="B13" s="3" t="s">
        <v>382</v>
      </c>
      <c r="C13" s="21">
        <v>45292.0</v>
      </c>
      <c r="D13" s="3" t="s">
        <v>369</v>
      </c>
      <c r="E13" s="3" t="s">
        <v>383</v>
      </c>
      <c r="F13" s="22">
        <v>42370.0</v>
      </c>
      <c r="G13" s="3" t="s">
        <v>384</v>
      </c>
      <c r="H13" s="3" t="s">
        <v>385</v>
      </c>
      <c r="I13" s="21">
        <v>46082.0</v>
      </c>
      <c r="J13" s="3" t="s">
        <v>13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>
      <c r="A14" s="3" t="str">
        <f>Bio!A14</f>
        <v>Mason Duncan</v>
      </c>
      <c r="B14" s="3" t="s">
        <v>386</v>
      </c>
      <c r="C14" s="21">
        <v>45689.0</v>
      </c>
      <c r="D14" s="3" t="s">
        <v>387</v>
      </c>
      <c r="E14" s="3" t="s">
        <v>388</v>
      </c>
      <c r="F14" s="21">
        <v>46082.0</v>
      </c>
      <c r="G14" s="3" t="s">
        <v>13</v>
      </c>
      <c r="H14" s="3" t="s">
        <v>13</v>
      </c>
      <c r="I14" s="3" t="s">
        <v>13</v>
      </c>
      <c r="J14" s="3" t="s">
        <v>13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>
      <c r="A15" s="6" t="str">
        <f>Bio!A15</f>
        <v>Donnie Hooten</v>
      </c>
      <c r="B15" s="3" t="s">
        <v>389</v>
      </c>
      <c r="C15" s="21">
        <v>44562.0</v>
      </c>
      <c r="D15" s="3" t="s">
        <v>390</v>
      </c>
      <c r="E15" s="3" t="s">
        <v>13</v>
      </c>
      <c r="F15" s="3" t="s">
        <v>13</v>
      </c>
      <c r="G15" s="3" t="s">
        <v>13</v>
      </c>
      <c r="H15" s="3" t="s">
        <v>13</v>
      </c>
      <c r="I15" s="3" t="s">
        <v>13</v>
      </c>
      <c r="J15" s="3" t="s">
        <v>13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>
      <c r="A16" s="3" t="str">
        <f>Bio!A16</f>
        <v>Lucas Arnold</v>
      </c>
      <c r="B16" s="3" t="s">
        <v>391</v>
      </c>
      <c r="C16" s="21">
        <v>46082.0</v>
      </c>
      <c r="D16" s="3" t="s">
        <v>13</v>
      </c>
      <c r="E16" s="3" t="s">
        <v>13</v>
      </c>
      <c r="F16" s="3" t="s">
        <v>13</v>
      </c>
      <c r="G16" s="3" t="s">
        <v>13</v>
      </c>
      <c r="H16" s="3" t="s">
        <v>13</v>
      </c>
      <c r="I16" s="3" t="s">
        <v>13</v>
      </c>
      <c r="J16" s="3" t="s">
        <v>13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>
      <c r="A17" s="6" t="str">
        <f>Bio!A17</f>
        <v>Blake Lyle</v>
      </c>
      <c r="B17" s="3" t="s">
        <v>392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>
      <c r="A18" s="3" t="str">
        <f>Bio!A18</f>
        <v>Caleb Hunter</v>
      </c>
      <c r="B18" s="7" t="s">
        <v>393</v>
      </c>
      <c r="C18" s="7" t="s">
        <v>394</v>
      </c>
      <c r="D18" s="7" t="s">
        <v>13</v>
      </c>
      <c r="E18" s="7" t="s">
        <v>395</v>
      </c>
      <c r="F18" s="7" t="s">
        <v>354</v>
      </c>
      <c r="G18" s="7" t="s">
        <v>13</v>
      </c>
      <c r="H18" s="7" t="s">
        <v>13</v>
      </c>
      <c r="I18" s="7" t="s">
        <v>13</v>
      </c>
      <c r="J18" s="7" t="s">
        <v>13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6" t="str">
        <f>Bio!A19</f>
        <v>Zander Zangoei</v>
      </c>
      <c r="B19" s="7" t="s">
        <v>396</v>
      </c>
      <c r="C19" s="7" t="s">
        <v>397</v>
      </c>
      <c r="D19" s="7" t="s">
        <v>13</v>
      </c>
      <c r="E19" s="7" t="s">
        <v>356</v>
      </c>
      <c r="F19" s="7">
        <v>2023.0</v>
      </c>
      <c r="G19" s="7" t="s">
        <v>13</v>
      </c>
      <c r="H19" s="7" t="s">
        <v>13</v>
      </c>
      <c r="I19" s="7" t="s">
        <v>13</v>
      </c>
      <c r="J19" s="7" t="s">
        <v>13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>
      <c r="A20" s="3" t="str">
        <f>Bio!A20</f>
        <v>Blake Stewart</v>
      </c>
      <c r="B20" s="7" t="s">
        <v>392</v>
      </c>
      <c r="C20" s="7" t="s">
        <v>13</v>
      </c>
      <c r="D20" s="7" t="s">
        <v>13</v>
      </c>
      <c r="E20" s="7" t="s">
        <v>13</v>
      </c>
      <c r="F20" s="7" t="s">
        <v>13</v>
      </c>
      <c r="G20" s="7" t="s">
        <v>13</v>
      </c>
      <c r="H20" s="7" t="s">
        <v>13</v>
      </c>
      <c r="I20" s="7" t="s">
        <v>13</v>
      </c>
      <c r="J20" s="7" t="s">
        <v>13</v>
      </c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>
      <c r="A21" s="6" t="str">
        <f>Bio!A21</f>
        <v>Matthew Siskowski</v>
      </c>
      <c r="B21" s="7" t="s">
        <v>392</v>
      </c>
      <c r="C21" s="7" t="s">
        <v>13</v>
      </c>
      <c r="D21" s="7" t="s">
        <v>13</v>
      </c>
      <c r="E21" s="7" t="s">
        <v>13</v>
      </c>
      <c r="F21" s="7" t="s">
        <v>13</v>
      </c>
      <c r="G21" s="7" t="s">
        <v>13</v>
      </c>
      <c r="H21" s="7" t="s">
        <v>13</v>
      </c>
      <c r="I21" s="7" t="s">
        <v>13</v>
      </c>
      <c r="J21" s="7" t="s">
        <v>13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>
      <c r="A22" s="3" t="str">
        <f>Bio!A22</f>
        <v>Linkyn Fuller</v>
      </c>
      <c r="B22" s="3" t="s">
        <v>398</v>
      </c>
      <c r="C22" s="3" t="s">
        <v>399</v>
      </c>
      <c r="D22" s="7" t="s">
        <v>400</v>
      </c>
      <c r="E22" s="7" t="s">
        <v>13</v>
      </c>
      <c r="F22" s="7" t="s">
        <v>13</v>
      </c>
      <c r="G22" s="7" t="s">
        <v>13</v>
      </c>
      <c r="H22" s="7" t="s">
        <v>13</v>
      </c>
      <c r="I22" s="7" t="s">
        <v>13</v>
      </c>
      <c r="J22" s="7" t="s">
        <v>13</v>
      </c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>
      <c r="A23" s="6" t="str">
        <f>Bio!A23</f>
        <v/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>
      <c r="A24" s="3" t="str">
        <f>Bio!A24</f>
        <v/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>
      <c r="A25" s="6" t="str">
        <f>Bio!A25</f>
        <v/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>
      <c r="A26" s="3" t="str">
        <f>Bio!A26</f>
        <v/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>
      <c r="A27" s="6" t="str">
        <f>Bio!A27</f>
        <v/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>
      <c r="A28" s="3" t="str">
        <f>Bio!A28</f>
        <v/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>
      <c r="A29" s="6" t="str">
        <f>Bio!A29</f>
        <v/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>
      <c r="A30" s="3" t="str">
        <f>Bio!A30</f>
        <v/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>
      <c r="A31" s="6" t="str">
        <f>Bio!A31</f>
        <v/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>
      <c r="A32" s="3" t="str">
        <f>Bio!A32</f>
        <v/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>
      <c r="A33" s="6" t="str">
        <f>Bio!A33</f>
        <v/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>
      <c r="A34" s="3" t="str">
        <f>Bio!A34</f>
        <v/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>
      <c r="A35" s="6" t="str">
        <f>Bio!A35</f>
        <v/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>
      <c r="A36" s="3" t="str">
        <f>Bio!A36</f>
        <v/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>
      <c r="A37" s="6" t="str">
        <f>Bio!A37</f>
        <v/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>
      <c r="A38" s="3" t="str">
        <f>Bio!A38</f>
        <v/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>
      <c r="A39" s="6" t="str">
        <f>Bio!A39</f>
        <v/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>
      <c r="A40" s="3" t="str">
        <f>Bio!A40</f>
        <v/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48.88"/>
    <col customWidth="1" min="3" max="3" width="25.38"/>
    <col customWidth="1" min="4" max="4" width="53.38"/>
    <col customWidth="1" min="5" max="5" width="38.38"/>
    <col customWidth="1" min="6" max="6" width="25.13"/>
    <col customWidth="1" min="7" max="7" width="31.88"/>
  </cols>
  <sheetData>
    <row r="1">
      <c r="A1" s="3" t="s">
        <v>119</v>
      </c>
      <c r="B1" s="3" t="s">
        <v>401</v>
      </c>
      <c r="C1" s="3" t="s">
        <v>402</v>
      </c>
      <c r="D1" s="3" t="s">
        <v>403</v>
      </c>
      <c r="E1" s="3" t="s">
        <v>404</v>
      </c>
      <c r="F1" s="3" t="s">
        <v>405</v>
      </c>
      <c r="G1" s="3" t="s">
        <v>406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3" t="str">
        <f>Bio!A2</f>
        <v>Matthew Heredia</v>
      </c>
      <c r="B2" s="3" t="s">
        <v>407</v>
      </c>
      <c r="C2" s="3" t="s">
        <v>408</v>
      </c>
      <c r="D2" s="3" t="s">
        <v>13</v>
      </c>
      <c r="E2" s="3" t="s">
        <v>13</v>
      </c>
      <c r="F2" s="3" t="s">
        <v>13</v>
      </c>
      <c r="G2" s="3" t="s">
        <v>13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6" t="str">
        <f>Bio!A3</f>
        <v>Jason Drew</v>
      </c>
      <c r="B3" s="3" t="s">
        <v>409</v>
      </c>
      <c r="C3" s="3" t="s">
        <v>410</v>
      </c>
      <c r="D3" s="3" t="s">
        <v>411</v>
      </c>
      <c r="E3" s="3" t="s">
        <v>412</v>
      </c>
      <c r="F3" s="3" t="s">
        <v>13</v>
      </c>
      <c r="G3" s="3" t="s">
        <v>13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 t="str">
        <f>Bio!A4</f>
        <v>Josh Jacob</v>
      </c>
      <c r="B4" s="3" t="s">
        <v>413</v>
      </c>
      <c r="C4" s="3" t="s">
        <v>414</v>
      </c>
      <c r="D4" s="3" t="s">
        <v>415</v>
      </c>
      <c r="E4" s="3" t="s">
        <v>13</v>
      </c>
      <c r="F4" s="3" t="s">
        <v>13</v>
      </c>
      <c r="G4" s="3" t="s">
        <v>13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6" t="str">
        <f>Bio!A5</f>
        <v>Collin Vaughan</v>
      </c>
      <c r="B5" s="3" t="s">
        <v>416</v>
      </c>
      <c r="C5" s="3" t="s">
        <v>417</v>
      </c>
      <c r="D5" s="3" t="s">
        <v>418</v>
      </c>
      <c r="E5" s="3" t="s">
        <v>13</v>
      </c>
      <c r="F5" s="3" t="s">
        <v>13</v>
      </c>
      <c r="G5" s="3" t="s">
        <v>13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3" t="str">
        <f>Bio!A6</f>
        <v>Harrison Coneway</v>
      </c>
      <c r="B6" s="3" t="s">
        <v>419</v>
      </c>
      <c r="C6" s="3" t="s">
        <v>420</v>
      </c>
      <c r="D6" s="3" t="s">
        <v>421</v>
      </c>
      <c r="E6" s="3" t="s">
        <v>422</v>
      </c>
      <c r="F6" s="3" t="s">
        <v>423</v>
      </c>
      <c r="G6" s="3" t="s">
        <v>424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6" t="str">
        <f>Bio!A7</f>
        <v>Vince Long</v>
      </c>
      <c r="B7" s="3" t="s">
        <v>425</v>
      </c>
      <c r="C7" s="3" t="s">
        <v>417</v>
      </c>
      <c r="D7" s="3" t="s">
        <v>13</v>
      </c>
      <c r="E7" s="3" t="s">
        <v>13</v>
      </c>
      <c r="F7" s="3" t="s">
        <v>13</v>
      </c>
      <c r="G7" s="3" t="s">
        <v>13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3" t="str">
        <f>Bio!A8</f>
        <v>Noah Satine</v>
      </c>
      <c r="B8" s="3" t="s">
        <v>426</v>
      </c>
      <c r="C8" s="3" t="s">
        <v>427</v>
      </c>
      <c r="D8" s="3" t="s">
        <v>428</v>
      </c>
      <c r="E8" s="3" t="s">
        <v>13</v>
      </c>
      <c r="F8" s="3" t="s">
        <v>13</v>
      </c>
      <c r="G8" s="3" t="s">
        <v>13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 t="str">
        <f>Bio!A9</f>
        <v>Ford Stratton</v>
      </c>
      <c r="B9" s="3" t="s">
        <v>429</v>
      </c>
      <c r="C9" s="3" t="s">
        <v>430</v>
      </c>
      <c r="D9" s="3" t="s">
        <v>431</v>
      </c>
      <c r="E9" s="3" t="s">
        <v>13</v>
      </c>
      <c r="F9" s="3" t="s">
        <v>13</v>
      </c>
      <c r="G9" s="3" t="s">
        <v>13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3" t="str">
        <f>Bio!A10</f>
        <v>Jack Snakenberg</v>
      </c>
      <c r="B10" s="3" t="s">
        <v>432</v>
      </c>
      <c r="C10" s="3" t="s">
        <v>433</v>
      </c>
      <c r="D10" s="3" t="s">
        <v>434</v>
      </c>
      <c r="E10" s="3" t="s">
        <v>435</v>
      </c>
      <c r="F10" s="3" t="s">
        <v>436</v>
      </c>
      <c r="G10" s="3" t="s">
        <v>437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 t="str">
        <f>Bio!A11</f>
        <v>Koji Paul (Hitter)</v>
      </c>
      <c r="B11" s="3" t="s">
        <v>438</v>
      </c>
      <c r="C11" s="3" t="s">
        <v>439</v>
      </c>
      <c r="D11" s="3" t="s">
        <v>440</v>
      </c>
      <c r="E11" s="3" t="s">
        <v>441</v>
      </c>
      <c r="F11" s="3" t="s">
        <v>13</v>
      </c>
      <c r="G11" s="3" t="s">
        <v>13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3" t="str">
        <f>Bio!A12</f>
        <v>Preston Steeno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 t="str">
        <f>Bio!A13</f>
        <v>Andy Torres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3" t="str">
        <f>Bio!A14</f>
        <v>Mason Duncan</v>
      </c>
      <c r="B14" s="3" t="s">
        <v>442</v>
      </c>
      <c r="C14" s="3" t="s">
        <v>443</v>
      </c>
      <c r="D14" s="3" t="s">
        <v>444</v>
      </c>
      <c r="E14" s="3" t="s">
        <v>445</v>
      </c>
      <c r="F14" s="3" t="s">
        <v>446</v>
      </c>
      <c r="G14" s="3" t="s">
        <v>447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 t="str">
        <f>Bio!A15</f>
        <v>Donnie Hooten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3" t="str">
        <f>Bio!A16</f>
        <v>Lucas Arnold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 t="str">
        <f>Bio!A17</f>
        <v>Blake Lyle</v>
      </c>
      <c r="B17" s="3" t="s">
        <v>448</v>
      </c>
      <c r="C17" s="3" t="s">
        <v>449</v>
      </c>
      <c r="D17" s="3" t="s">
        <v>450</v>
      </c>
      <c r="E17" s="3" t="s">
        <v>451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3" t="str">
        <f>Bio!A18</f>
        <v>Caleb Hunter</v>
      </c>
      <c r="B18" s="17"/>
      <c r="C18" s="17"/>
      <c r="D18" s="17"/>
      <c r="E18" s="17"/>
      <c r="F18" s="17"/>
      <c r="G18" s="1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 t="str">
        <f>Bio!A19</f>
        <v>Zander Zangoei</v>
      </c>
      <c r="B19" s="7" t="s">
        <v>452</v>
      </c>
      <c r="C19" s="7" t="s">
        <v>453</v>
      </c>
      <c r="D19" s="7" t="s">
        <v>454</v>
      </c>
      <c r="E19" s="7" t="s">
        <v>449</v>
      </c>
      <c r="F19" s="7" t="s">
        <v>455</v>
      </c>
      <c r="G19" s="7" t="s">
        <v>456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3" t="str">
        <f>Bio!A20</f>
        <v>Blake Stewart</v>
      </c>
      <c r="B20" s="7" t="s">
        <v>457</v>
      </c>
      <c r="C20" s="7" t="s">
        <v>432</v>
      </c>
      <c r="D20" s="7" t="s">
        <v>458</v>
      </c>
      <c r="E20" s="7" t="s">
        <v>459</v>
      </c>
      <c r="F20" s="7" t="s">
        <v>460</v>
      </c>
      <c r="G20" s="7" t="s">
        <v>461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 t="str">
        <f>Bio!A21</f>
        <v>Matthew Siskowski</v>
      </c>
      <c r="B21" s="17"/>
      <c r="C21" s="17"/>
      <c r="D21" s="17"/>
      <c r="E21" s="17"/>
      <c r="F21" s="17"/>
      <c r="G21" s="1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3" t="str">
        <f>Bio!A22</f>
        <v>Linkyn Fuller</v>
      </c>
      <c r="B22" s="17"/>
      <c r="C22" s="17"/>
      <c r="D22" s="17"/>
      <c r="E22" s="17"/>
      <c r="F22" s="17"/>
      <c r="G22" s="1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 t="str">
        <f>Bio!A23</f>
        <v/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3" t="str">
        <f>Bio!A24</f>
        <v/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 t="str">
        <f>Bio!A25</f>
        <v/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3" t="str">
        <f>Bio!A26</f>
        <v/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 t="str">
        <f>Bio!A27</f>
        <v/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3" t="str">
        <f>Bio!A28</f>
        <v/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 t="str">
        <f>Bio!A29</f>
        <v/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3" t="str">
        <f>Bio!A30</f>
        <v/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 t="str">
        <f>Bio!A31</f>
        <v/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3" t="str">
        <f>Bio!A32</f>
        <v/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 t="str">
        <f>Bio!A33</f>
        <v/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3" t="str">
        <f>Bio!A34</f>
        <v/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 t="str">
        <f>Bio!A35</f>
        <v/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3" t="str">
        <f>Bio!A36</f>
        <v/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 t="str">
        <f>Bio!A37</f>
        <v/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3" t="str">
        <f>Bio!A38</f>
        <v/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 t="str">
        <f>Bio!A39</f>
        <v/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3" t="str">
        <f>Bio!A40</f>
        <v/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 t="str">
        <f>Bio!A41</f>
        <v/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3" t="str">
        <f>Bio!A42</f>
        <v/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 t="str">
        <f>Bio!A43</f>
        <v/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3" t="str">
        <f>Bio!A44</f>
        <v/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 t="str">
        <f>Bio!A45</f>
        <v/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3" t="str">
        <f>Bio!A46</f>
        <v/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 t="str">
        <f>Bio!A47</f>
        <v/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3" t="str">
        <f>Bio!A48</f>
        <v/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 t="str">
        <f>Bio!A49</f>
        <v/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3" t="str">
        <f>Bio!A50</f>
        <v/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 t="str">
        <f>Bio!A51</f>
        <v/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3" t="str">
        <f>Bio!A52</f>
        <v/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 t="str">
        <f>Bio!A53</f>
        <v/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3" t="str">
        <f>Bio!A54</f>
        <v/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 t="str">
        <f>Bio!A55</f>
        <v/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3" t="str">
        <f>Bio!A56</f>
        <v/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 t="str">
        <f>Bio!A57</f>
        <v/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3" t="str">
        <f>Bio!A58</f>
        <v/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 t="str">
        <f>Bio!A59</f>
        <v/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3" t="str">
        <f>Bio!A60</f>
        <v/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 t="str">
        <f>Bio!A61</f>
        <v/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3" t="str">
        <f>Bio!A62</f>
        <v/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 t="str">
        <f>Bio!A63</f>
        <v/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3" t="str">
        <f>Bio!A64</f>
        <v/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 t="str">
        <f>Bio!A65</f>
        <v/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3" t="str">
        <f>Bio!A66</f>
        <v/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 t="str">
        <f>Bio!A67</f>
        <v/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3" t="str">
        <f>Bio!A68</f>
        <v/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 t="str">
        <f>Bio!A69</f>
        <v/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3" t="str">
        <f>Bio!A70</f>
        <v/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 t="str">
        <f>Bio!A71</f>
        <v/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3" t="str">
        <f>Bio!A72</f>
        <v/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 t="str">
        <f>Bio!A73</f>
        <v/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3" t="str">
        <f>Bio!A74</f>
        <v/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 t="str">
        <f>Bio!A75</f>
        <v/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3" t="str">
        <f>Bio!A76</f>
        <v/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 t="str">
        <f>Bio!A77</f>
        <v/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3" t="str">
        <f>Bio!A78</f>
        <v/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 t="str">
        <f>Bio!A79</f>
        <v/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3" t="str">
        <f>Bio!A80</f>
        <v/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 t="str">
        <f>Bio!A81</f>
        <v/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2" max="2" width="89.25"/>
    <col customWidth="1" min="3" max="3" width="30.25"/>
    <col customWidth="1" min="4" max="4" width="93.38"/>
  </cols>
  <sheetData>
    <row r="1">
      <c r="A1" s="3" t="s">
        <v>119</v>
      </c>
      <c r="B1" s="3" t="s">
        <v>462</v>
      </c>
      <c r="C1" s="3" t="s">
        <v>463</v>
      </c>
      <c r="D1" s="3" t="s">
        <v>464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3" t="str">
        <f>Bio!A2</f>
        <v>Matthew Heredia</v>
      </c>
      <c r="B2" s="3" t="s">
        <v>465</v>
      </c>
      <c r="C2" s="3" t="s">
        <v>466</v>
      </c>
      <c r="D2" s="3" t="s">
        <v>467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6" t="str">
        <f>Bio!A3</f>
        <v>Jason Drew</v>
      </c>
      <c r="B3" s="3" t="s">
        <v>468</v>
      </c>
      <c r="C3" s="3" t="s">
        <v>469</v>
      </c>
      <c r="D3" s="3" t="s">
        <v>470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 t="str">
        <f>Bio!A4</f>
        <v>Josh Jacob</v>
      </c>
      <c r="B4" s="3" t="s">
        <v>471</v>
      </c>
      <c r="C4" s="3" t="s">
        <v>472</v>
      </c>
      <c r="D4" s="3" t="s">
        <v>473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6" t="str">
        <f>Bio!A5</f>
        <v>Collin Vaughan</v>
      </c>
      <c r="B5" s="3" t="s">
        <v>474</v>
      </c>
      <c r="C5" s="3" t="s">
        <v>475</v>
      </c>
      <c r="D5" s="3" t="s">
        <v>476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3" t="str">
        <f>Bio!A6</f>
        <v>Harrison Coneway</v>
      </c>
      <c r="B6" s="3" t="s">
        <v>477</v>
      </c>
      <c r="C6" s="3" t="s">
        <v>478</v>
      </c>
      <c r="D6" s="3" t="s">
        <v>479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6" t="str">
        <f>Bio!A7</f>
        <v>Vince Long</v>
      </c>
      <c r="B7" s="3" t="s">
        <v>465</v>
      </c>
      <c r="C7" s="3" t="s">
        <v>480</v>
      </c>
      <c r="D7" s="3" t="s">
        <v>481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3" t="str">
        <f>Bio!A8</f>
        <v>Noah Satine</v>
      </c>
      <c r="B8" s="3" t="s">
        <v>482</v>
      </c>
      <c r="C8" s="3" t="s">
        <v>483</v>
      </c>
      <c r="D8" s="3" t="s">
        <v>484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 t="str">
        <f>Bio!A9</f>
        <v>Ford Stratton</v>
      </c>
      <c r="B9" s="3" t="s">
        <v>485</v>
      </c>
      <c r="C9" s="3" t="s">
        <v>486</v>
      </c>
      <c r="D9" s="3" t="s">
        <v>487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3" t="str">
        <f>Bio!A10</f>
        <v>Jack Snakenberg</v>
      </c>
      <c r="B10" s="3" t="s">
        <v>488</v>
      </c>
      <c r="C10" s="3" t="s">
        <v>489</v>
      </c>
      <c r="D10" s="3" t="s">
        <v>490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 t="str">
        <f>Bio!A11</f>
        <v>Koji Paul (Hitter)</v>
      </c>
      <c r="B11" s="3" t="s">
        <v>491</v>
      </c>
      <c r="C11" s="3" t="s">
        <v>492</v>
      </c>
      <c r="D11" s="3" t="s">
        <v>493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3" t="str">
        <f>Bio!A12</f>
        <v>Preston Steeno</v>
      </c>
      <c r="B12" s="3" t="s">
        <v>494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 t="str">
        <f>Bio!A13</f>
        <v>Andy Torres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3" t="str">
        <f>Bio!A14</f>
        <v>Mason Duncan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 t="str">
        <f>Bio!A15</f>
        <v>Donnie Hooten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3" t="str">
        <f>Bio!A16</f>
        <v>Lucas Arnold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 t="str">
        <f>Bio!A17</f>
        <v>Blake Lyle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3" t="str">
        <f>Bio!A18</f>
        <v>Caleb Hunter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 t="str">
        <f>Bio!A19</f>
        <v>Zander Zangoei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3" t="str">
        <f>Bio!A20</f>
        <v>Blake Stewart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 t="str">
        <f>Bio!A21</f>
        <v>Matthew Siskowski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3" t="str">
        <f>Bio!A22</f>
        <v>Linkyn Fuller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 t="str">
        <f>Bio!A23</f>
        <v/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3" t="str">
        <f>Bio!A24</f>
        <v/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 t="str">
        <f>Bio!A25</f>
        <v/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3" t="str">
        <f>Bio!A26</f>
        <v/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 t="str">
        <f>Bio!A27</f>
        <v/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3" t="str">
        <f>Bio!A28</f>
        <v/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 t="str">
        <f>Bio!A29</f>
        <v/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3" t="str">
        <f>Bio!A30</f>
        <v/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 t="str">
        <f>Bio!A31</f>
        <v/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3" t="str">
        <f>Bio!A32</f>
        <v/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 t="str">
        <f>Bio!A33</f>
        <v/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3" t="str">
        <f>Bio!A34</f>
        <v/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 t="str">
        <f>Bio!A35</f>
        <v/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3" t="str">
        <f>Bio!A36</f>
        <v/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 t="str">
        <f>Bio!A37</f>
        <v/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3" t="str">
        <f>Bio!A38</f>
        <v/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 t="str">
        <f>Bio!A39</f>
        <v/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3" t="str">
        <f>Bio!A40</f>
        <v/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 t="str">
        <f>Bio!A41</f>
        <v/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3" t="str">
        <f>Bio!A42</f>
        <v/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 t="str">
        <f>Bio!A43</f>
        <v/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3" t="str">
        <f>Bio!A44</f>
        <v/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 t="str">
        <f>Bio!A45</f>
        <v/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3" t="str">
        <f>Bio!A46</f>
        <v/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 t="str">
        <f>Bio!A47</f>
        <v/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3" t="str">
        <f>Bio!A48</f>
        <v/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 t="str">
        <f>Bio!A49</f>
        <v/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3" t="str">
        <f>Bio!A50</f>
        <v/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 t="str">
        <f>Bio!A51</f>
        <v/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3" t="str">
        <f>Bio!A52</f>
        <v/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 t="str">
        <f>Bio!A53</f>
        <v/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3" t="str">
        <f>Bio!A54</f>
        <v/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 t="str">
        <f>Bio!A55</f>
        <v/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3" t="str">
        <f>Bio!A56</f>
        <v/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 t="str">
        <f>Bio!A57</f>
        <v/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3" t="str">
        <f>Bio!A58</f>
        <v/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 t="str">
        <f>Bio!A59</f>
        <v/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3" t="str">
        <f>Bio!A60</f>
        <v/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 t="str">
        <f>Bio!A61</f>
        <v/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3" t="str">
        <f>Bio!A62</f>
        <v/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 t="str">
        <f>Bio!A63</f>
        <v/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3" t="str">
        <f>Bio!A64</f>
        <v/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 t="str">
        <f>Bio!A65</f>
        <v/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3" t="str">
        <f>Bio!A66</f>
        <v/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 t="str">
        <f>Bio!A67</f>
        <v/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3" t="str">
        <f>Bio!A68</f>
        <v/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 t="str">
        <f>Bio!A69</f>
        <v/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3" t="str">
        <f>Bio!A70</f>
        <v/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 t="str">
        <f>Bio!A71</f>
        <v/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3" t="str">
        <f>Bio!A72</f>
        <v/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 t="str">
        <f>Bio!A73</f>
        <v/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3" t="str">
        <f>Bio!A74</f>
        <v/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 t="str">
        <f>Bio!A75</f>
        <v/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3" max="3" width="26.88"/>
  </cols>
  <sheetData>
    <row r="1">
      <c r="A1" s="3" t="s">
        <v>161</v>
      </c>
      <c r="B1" s="3" t="s">
        <v>495</v>
      </c>
      <c r="C1" s="3" t="s">
        <v>496</v>
      </c>
      <c r="D1" s="3" t="s">
        <v>497</v>
      </c>
      <c r="E1" s="3" t="s">
        <v>498</v>
      </c>
      <c r="F1" s="3" t="s">
        <v>496</v>
      </c>
      <c r="G1" s="3" t="s">
        <v>497</v>
      </c>
      <c r="H1" s="3" t="s">
        <v>499</v>
      </c>
      <c r="I1" s="3" t="s">
        <v>500</v>
      </c>
      <c r="J1" s="3" t="s">
        <v>497</v>
      </c>
    </row>
    <row r="2">
      <c r="A2" s="6" t="str">
        <f>Bio!A2</f>
        <v>Matthew Heredia</v>
      </c>
    </row>
    <row r="3">
      <c r="A3" s="6" t="str">
        <f>Bio!A3</f>
        <v>Jason Drew</v>
      </c>
    </row>
    <row r="4">
      <c r="A4" s="6" t="str">
        <f>Bio!A4</f>
        <v>Josh Jacob</v>
      </c>
      <c r="B4" s="23">
        <v>46048.0</v>
      </c>
      <c r="C4" s="20" t="s">
        <v>501</v>
      </c>
      <c r="D4" s="24" t="s">
        <v>502</v>
      </c>
      <c r="E4" s="23">
        <v>46050.0</v>
      </c>
      <c r="F4" s="20" t="s">
        <v>503</v>
      </c>
      <c r="G4" s="25" t="s">
        <v>504</v>
      </c>
      <c r="H4" s="23">
        <v>46055.0</v>
      </c>
      <c r="I4" s="20" t="s">
        <v>505</v>
      </c>
      <c r="J4" s="26" t="s">
        <v>506</v>
      </c>
    </row>
    <row r="5">
      <c r="A5" s="6" t="str">
        <f>Bio!A5</f>
        <v>Collin Vaughan</v>
      </c>
      <c r="B5" s="23">
        <v>46055.0</v>
      </c>
      <c r="C5" s="20" t="s">
        <v>507</v>
      </c>
      <c r="D5" s="25" t="s">
        <v>508</v>
      </c>
      <c r="E5" s="23">
        <v>46057.0</v>
      </c>
      <c r="F5" s="20" t="s">
        <v>509</v>
      </c>
      <c r="G5" s="27" t="s">
        <v>510</v>
      </c>
      <c r="H5" s="23">
        <v>46095.0</v>
      </c>
      <c r="I5" s="20" t="s">
        <v>511</v>
      </c>
      <c r="J5" s="26" t="s">
        <v>512</v>
      </c>
    </row>
    <row r="6">
      <c r="A6" s="6" t="str">
        <f>Bio!A6</f>
        <v>Harrison Coneway</v>
      </c>
    </row>
    <row r="7">
      <c r="A7" s="6" t="str">
        <f>Bio!A7</f>
        <v>Vince Long</v>
      </c>
    </row>
    <row r="8">
      <c r="A8" s="6" t="str">
        <f>Bio!A8</f>
        <v>Noah Satine</v>
      </c>
    </row>
    <row r="9">
      <c r="A9" s="6" t="str">
        <f>Bio!A9</f>
        <v>Ford Stratton</v>
      </c>
    </row>
    <row r="10">
      <c r="A10" s="6" t="str">
        <f>Bio!A10</f>
        <v>Jack Snakenberg</v>
      </c>
    </row>
    <row r="11">
      <c r="A11" s="6" t="str">
        <f>Bio!A11</f>
        <v>Koji Paul (Hitter)</v>
      </c>
    </row>
    <row r="12">
      <c r="A12" s="6" t="str">
        <f>Bio!A12</f>
        <v>Preston Steeno</v>
      </c>
    </row>
    <row r="13">
      <c r="A13" s="6" t="str">
        <f>Bio!A13</f>
        <v>Andy Torres</v>
      </c>
    </row>
    <row r="14">
      <c r="A14" s="6" t="str">
        <f>Bio!A14</f>
        <v>Mason Duncan</v>
      </c>
      <c r="B14" s="23">
        <v>46064.0</v>
      </c>
      <c r="C14" s="20" t="s">
        <v>513</v>
      </c>
      <c r="D14" s="27" t="s">
        <v>514</v>
      </c>
      <c r="E14" s="23">
        <v>46097.0</v>
      </c>
      <c r="F14" s="20" t="s">
        <v>515</v>
      </c>
      <c r="G14" s="28" t="s">
        <v>516</v>
      </c>
      <c r="H14" s="23">
        <v>46104.0</v>
      </c>
      <c r="I14" s="20" t="s">
        <v>517</v>
      </c>
      <c r="J14" s="26" t="s">
        <v>518</v>
      </c>
    </row>
    <row r="15">
      <c r="A15" s="6" t="str">
        <f>Bio!A15</f>
        <v>Donnie Hooten</v>
      </c>
    </row>
    <row r="16">
      <c r="A16" s="6" t="str">
        <f>Bio!A16</f>
        <v>Lucas Arnold</v>
      </c>
    </row>
  </sheetData>
  <hyperlinks>
    <hyperlink r:id="rId1" ref="D4"/>
    <hyperlink r:id="rId2" ref="G4"/>
    <hyperlink r:id="rId3" ref="J4"/>
    <hyperlink r:id="rId4" ref="D5"/>
    <hyperlink r:id="rId5" ref="G5"/>
    <hyperlink r:id="rId6" ref="J5"/>
    <hyperlink r:id="rId7" ref="D14"/>
    <hyperlink r:id="rId8" ref="G14"/>
    <hyperlink r:id="rId9" ref="J14"/>
  </hyperlinks>
  <drawing r:id="rId10"/>
</worksheet>
</file>